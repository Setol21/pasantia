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ster\Desktop\playground\"/>
    </mc:Choice>
  </mc:AlternateContent>
  <xr:revisionPtr revIDLastSave="0" documentId="13_ncr:1_{806F17F4-532A-4A0F-BC99-23ECFE13F9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 VF" sheetId="2" r:id="rId1"/>
    <sheet name="Detalle OCs" sheetId="5" r:id="rId2"/>
    <sheet name="Hoja2" sheetId="11" r:id="rId3"/>
    <sheet name="Numeros" sheetId="7" r:id="rId4"/>
    <sheet name="Sheet4" sheetId="9" r:id="rId5"/>
    <sheet name="Mail Cris" sheetId="8" r:id="rId6"/>
    <sheet name="Sheet1" sheetId="6" state="hidden" r:id="rId7"/>
  </sheets>
  <externalReferences>
    <externalReference r:id="rId8"/>
  </externalReferences>
  <definedNames>
    <definedName name="_xlnm._FilterDatabase" localSheetId="1" hidden="1">'Detalle OCs'!$A$2:$AI$348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7" l="1"/>
  <c r="H6" i="7"/>
  <c r="F6" i="7"/>
  <c r="G4" i="7"/>
  <c r="G6" i="7" l="1"/>
  <c r="K275" i="5"/>
  <c r="M275" i="5" s="1"/>
  <c r="K274" i="5"/>
  <c r="M274" i="5" s="1"/>
  <c r="K276" i="5"/>
  <c r="M276" i="5" s="1"/>
  <c r="K277" i="5"/>
  <c r="M277" i="5" s="1"/>
  <c r="K269" i="5"/>
  <c r="M269" i="5" s="1"/>
  <c r="K270" i="5"/>
  <c r="M270" i="5" s="1"/>
  <c r="K271" i="5"/>
  <c r="M271" i="5" s="1"/>
  <c r="K272" i="5"/>
  <c r="M272" i="5" s="1"/>
  <c r="X287" i="5" l="1"/>
  <c r="W287" i="5" s="1"/>
  <c r="X286" i="5"/>
  <c r="W286" i="5" s="1"/>
  <c r="X283" i="5"/>
  <c r="W283" i="5" s="1"/>
  <c r="X282" i="5"/>
  <c r="W282" i="5" s="1"/>
  <c r="X281" i="5"/>
  <c r="W281" i="5" s="1"/>
  <c r="X280" i="5"/>
  <c r="W280" i="5" s="1"/>
  <c r="X266" i="5"/>
  <c r="W266" i="5" s="1"/>
  <c r="X257" i="5"/>
  <c r="W257" i="5" s="1"/>
  <c r="X255" i="5"/>
  <c r="W255" i="5" s="1"/>
  <c r="X253" i="5"/>
  <c r="W253" i="5" s="1"/>
  <c r="X252" i="5"/>
  <c r="W252" i="5" s="1"/>
  <c r="X250" i="5"/>
  <c r="W250" i="5" s="1"/>
  <c r="X249" i="5"/>
  <c r="W249" i="5" s="1"/>
  <c r="X245" i="5"/>
  <c r="W245" i="5" s="1"/>
  <c r="X242" i="5"/>
  <c r="W242" i="5" s="1"/>
  <c r="X225" i="5"/>
  <c r="W225" i="5" s="1"/>
  <c r="Z251" i="5"/>
  <c r="Y251" i="5"/>
  <c r="K288" i="5" l="1"/>
  <c r="M288" i="5" s="1"/>
  <c r="K154" i="5" l="1"/>
  <c r="M154" i="5" s="1"/>
  <c r="K147" i="5"/>
  <c r="M147" i="5" s="1"/>
  <c r="K190" i="5"/>
  <c r="M190" i="5" s="1"/>
  <c r="K323" i="5" l="1"/>
  <c r="M323" i="5" s="1"/>
  <c r="K317" i="5"/>
  <c r="M317" i="5" s="1"/>
  <c r="K186" i="5"/>
  <c r="M186" i="5" s="1"/>
  <c r="K78" i="5"/>
  <c r="M78" i="5" s="1"/>
  <c r="K76" i="5"/>
  <c r="M76" i="5" s="1"/>
  <c r="K75" i="5"/>
  <c r="M75" i="5" s="1"/>
  <c r="K68" i="5"/>
  <c r="M68" i="5" s="1"/>
  <c r="K53" i="5"/>
  <c r="M53" i="5" s="1"/>
  <c r="K39" i="5"/>
  <c r="M39" i="5" s="1"/>
  <c r="K73" i="5"/>
  <c r="M73" i="5" s="1"/>
  <c r="K71" i="5"/>
  <c r="M71" i="5" s="1"/>
  <c r="K63" i="5"/>
  <c r="M63" i="5" s="1"/>
  <c r="K62" i="5"/>
  <c r="M62" i="5" s="1"/>
  <c r="K281" i="5"/>
  <c r="M281" i="5" s="1"/>
  <c r="K266" i="5"/>
  <c r="M266" i="5" s="1"/>
  <c r="L39" i="2" l="1"/>
  <c r="L1" i="5" s="1"/>
  <c r="O39" i="2"/>
  <c r="P39" i="2"/>
  <c r="R39" i="2" s="1"/>
  <c r="L37" i="2"/>
  <c r="K278" i="5"/>
  <c r="M278" i="5" s="1"/>
  <c r="K268" i="5"/>
  <c r="M268" i="5" s="1"/>
  <c r="K265" i="5"/>
  <c r="M265" i="5" s="1"/>
  <c r="K161" i="5"/>
  <c r="M331" i="5"/>
  <c r="M332" i="5"/>
  <c r="M330" i="5"/>
  <c r="K320" i="5"/>
  <c r="M320" i="5" s="1"/>
  <c r="K322" i="5"/>
  <c r="M322" i="5" s="1"/>
  <c r="K255" i="5"/>
  <c r="M255" i="5" s="1"/>
  <c r="K256" i="5"/>
  <c r="K257" i="5"/>
  <c r="M257" i="5" s="1"/>
  <c r="K237" i="5"/>
  <c r="M237" i="5" s="1"/>
  <c r="K238" i="5"/>
  <c r="M238" i="5" s="1"/>
  <c r="K239" i="5"/>
  <c r="M239" i="5" s="1"/>
  <c r="K225" i="5" l="1"/>
  <c r="M225" i="5" s="1"/>
  <c r="K218" i="5"/>
  <c r="M218" i="5" s="1"/>
  <c r="M204" i="5"/>
  <c r="M205" i="5"/>
  <c r="M206" i="5"/>
  <c r="M207" i="5"/>
  <c r="M208" i="5"/>
  <c r="M209" i="5"/>
  <c r="M210" i="5"/>
  <c r="M211" i="5"/>
  <c r="M213" i="5"/>
  <c r="M214" i="5"/>
  <c r="M215" i="5"/>
  <c r="M216" i="5"/>
  <c r="M220" i="5"/>
  <c r="M221" i="5"/>
  <c r="M227" i="5"/>
  <c r="M228" i="5"/>
  <c r="M235" i="5"/>
  <c r="K184" i="5"/>
  <c r="M184" i="5" s="1"/>
  <c r="K182" i="5"/>
  <c r="M182" i="5" s="1"/>
  <c r="M165" i="5"/>
  <c r="M166" i="5"/>
  <c r="M164" i="5"/>
  <c r="K143" i="5"/>
  <c r="M143" i="5" s="1"/>
  <c r="K139" i="5"/>
  <c r="M139" i="5" s="1"/>
  <c r="K140" i="5"/>
  <c r="K141" i="5"/>
  <c r="M141" i="5" s="1"/>
  <c r="K137" i="5"/>
  <c r="M137" i="5" s="1"/>
  <c r="K135" i="5"/>
  <c r="M135" i="5" s="1"/>
  <c r="K129" i="5"/>
  <c r="M129" i="5" s="1"/>
  <c r="K130" i="5"/>
  <c r="M130" i="5" s="1"/>
  <c r="K131" i="5"/>
  <c r="M131" i="5" s="1"/>
  <c r="M124" i="5"/>
  <c r="K120" i="5"/>
  <c r="M120" i="5" s="1"/>
  <c r="K117" i="5"/>
  <c r="M117" i="5" s="1"/>
  <c r="K118" i="5"/>
  <c r="K119" i="5"/>
  <c r="M119" i="5" s="1"/>
  <c r="K110" i="5"/>
  <c r="M110" i="5" s="1"/>
  <c r="K107" i="5"/>
  <c r="M107" i="5" s="1"/>
  <c r="K109" i="5"/>
  <c r="M109" i="5" s="1"/>
  <c r="K106" i="5"/>
  <c r="M106" i="5" s="1"/>
  <c r="K104" i="5"/>
  <c r="M104" i="5" s="1"/>
  <c r="K55" i="5" l="1"/>
  <c r="M55" i="5" s="1"/>
  <c r="K52" i="5"/>
  <c r="M52" i="5" s="1"/>
  <c r="P52" i="2" l="1"/>
  <c r="R52" i="2" s="1"/>
  <c r="P51" i="2"/>
  <c r="R51" i="2" s="1"/>
  <c r="P50" i="2"/>
  <c r="R50" i="2" s="1"/>
  <c r="M49" i="2"/>
  <c r="P49" i="2" s="1"/>
  <c r="R49" i="2" s="1"/>
  <c r="L48" i="2"/>
  <c r="P48" i="2" s="1"/>
  <c r="R48" i="2" s="1"/>
  <c r="L47" i="2"/>
  <c r="P47" i="2" s="1"/>
  <c r="R47" i="2" s="1"/>
  <c r="L46" i="2"/>
  <c r="P46" i="2" s="1"/>
  <c r="R46" i="2" s="1"/>
  <c r="M45" i="2"/>
  <c r="L45" i="2"/>
  <c r="P45" i="2" s="1"/>
  <c r="R45" i="2" s="1"/>
  <c r="M44" i="2"/>
  <c r="P44" i="2" s="1"/>
  <c r="R44" i="2" s="1"/>
  <c r="P43" i="2"/>
  <c r="R43" i="2" s="1"/>
  <c r="P42" i="2"/>
  <c r="R42" i="2" s="1"/>
  <c r="M41" i="2"/>
  <c r="P41" i="2" s="1"/>
  <c r="R41" i="2" s="1"/>
  <c r="L40" i="2"/>
  <c r="P40" i="2" s="1"/>
  <c r="R40" i="2" s="1"/>
  <c r="L38" i="2"/>
  <c r="P38" i="2" s="1"/>
  <c r="R38" i="2" s="1"/>
  <c r="M37" i="2"/>
  <c r="P37" i="2" s="1"/>
  <c r="R37" i="2" s="1"/>
  <c r="P24" i="2"/>
  <c r="P23" i="2"/>
  <c r="P22" i="2"/>
  <c r="P21" i="2"/>
  <c r="L20" i="2"/>
  <c r="P20" i="2" s="1"/>
  <c r="L19" i="2"/>
  <c r="P19" i="2" s="1"/>
  <c r="L18" i="2"/>
  <c r="P18" i="2" s="1"/>
  <c r="L17" i="2"/>
  <c r="P17" i="2" s="1"/>
  <c r="M16" i="2"/>
  <c r="P16" i="2" s="1"/>
  <c r="P15" i="2"/>
  <c r="P14" i="2"/>
  <c r="M13" i="2"/>
  <c r="P13" i="2" s="1"/>
  <c r="L12" i="2"/>
  <c r="P12" i="2" s="1"/>
  <c r="L11" i="2"/>
  <c r="P11" i="2" s="1"/>
  <c r="L10" i="2"/>
  <c r="P10" i="2" s="1"/>
  <c r="L9" i="2"/>
  <c r="P9" i="2" s="1"/>
  <c r="M315" i="5" l="1"/>
  <c r="M314" i="5"/>
  <c r="M313" i="5"/>
  <c r="M312" i="5"/>
  <c r="M309" i="5"/>
  <c r="M308" i="5"/>
  <c r="M307" i="5"/>
  <c r="M306" i="5"/>
  <c r="M305" i="5"/>
  <c r="M304" i="5"/>
  <c r="M303" i="5"/>
  <c r="M302" i="5"/>
  <c r="M193" i="5"/>
  <c r="M192" i="5"/>
  <c r="M191" i="5"/>
  <c r="M179" i="5"/>
  <c r="M178" i="5"/>
  <c r="M177" i="5"/>
  <c r="M170" i="5"/>
  <c r="M169" i="5"/>
  <c r="M168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24" i="5"/>
  <c r="M23" i="5"/>
  <c r="M12" i="5"/>
  <c r="M11" i="5"/>
  <c r="M10" i="5"/>
  <c r="M9" i="5"/>
  <c r="M8" i="5"/>
  <c r="M7" i="5"/>
  <c r="M6" i="5"/>
  <c r="M5" i="5"/>
  <c r="M4" i="5"/>
  <c r="M3" i="5"/>
  <c r="L34" i="2"/>
  <c r="O34" i="2"/>
  <c r="N34" i="2"/>
  <c r="M34" i="2"/>
  <c r="K34" i="2"/>
  <c r="J34" i="2"/>
  <c r="I34" i="2"/>
  <c r="H34" i="2"/>
  <c r="G34" i="2"/>
  <c r="F34" i="2"/>
  <c r="E34" i="2"/>
  <c r="D34" i="2"/>
  <c r="P34" i="2" l="1"/>
  <c r="K65" i="5" l="1"/>
  <c r="M65" i="5" s="1"/>
  <c r="K61" i="5"/>
  <c r="M61" i="5" s="1"/>
  <c r="K14" i="5"/>
  <c r="K59" i="5"/>
  <c r="M59" i="5" s="1"/>
  <c r="K57" i="5"/>
  <c r="M57" i="5" s="1"/>
  <c r="K44" i="5"/>
  <c r="M44" i="5" s="1"/>
  <c r="K42" i="5"/>
  <c r="M42" i="5" s="1"/>
  <c r="K37" i="5"/>
  <c r="M37" i="5" s="1"/>
  <c r="K22" i="5"/>
  <c r="M22" i="5" s="1"/>
  <c r="K27" i="5"/>
  <c r="M27" i="5" s="1"/>
  <c r="K202" i="5"/>
  <c r="M202" i="5" s="1"/>
  <c r="K19" i="5"/>
  <c r="M19" i="5" s="1"/>
  <c r="L6" i="2" l="1"/>
  <c r="O6" i="2"/>
  <c r="N6" i="2"/>
  <c r="M6" i="2"/>
  <c r="K6" i="2"/>
  <c r="J6" i="2"/>
  <c r="I6" i="2"/>
  <c r="H6" i="2"/>
  <c r="G6" i="2"/>
  <c r="F6" i="2"/>
  <c r="E6" i="2"/>
  <c r="D6" i="2"/>
  <c r="P6" i="2" l="1"/>
  <c r="K172" i="5" l="1"/>
  <c r="M172" i="5" s="1"/>
  <c r="AA4" i="5" l="1"/>
  <c r="AA5" i="5"/>
  <c r="AA6" i="5"/>
  <c r="AA7" i="5"/>
  <c r="AA8" i="5"/>
  <c r="AA9" i="5"/>
  <c r="AA10" i="5"/>
  <c r="AA11" i="5"/>
  <c r="AA12" i="5"/>
  <c r="AA13" i="5"/>
  <c r="AA15" i="5"/>
  <c r="AA16" i="5"/>
  <c r="AA17" i="5"/>
  <c r="AA18" i="5"/>
  <c r="AA20" i="5"/>
  <c r="AA21" i="5"/>
  <c r="AA23" i="5"/>
  <c r="AA24" i="5"/>
  <c r="AA25" i="5"/>
  <c r="AA26" i="5"/>
  <c r="AA28" i="5"/>
  <c r="AA29" i="5"/>
  <c r="AA30" i="5"/>
  <c r="AA31" i="5"/>
  <c r="AA32" i="5"/>
  <c r="AA33" i="5"/>
  <c r="AA34" i="5"/>
  <c r="AA47" i="5"/>
  <c r="AA48" i="5"/>
  <c r="AA49" i="5"/>
  <c r="AA50" i="5"/>
  <c r="AA51" i="5"/>
  <c r="AA54" i="5"/>
  <c r="AA56" i="5"/>
  <c r="AA58" i="5"/>
  <c r="AA66" i="5"/>
  <c r="AA67" i="5"/>
  <c r="AA69" i="5"/>
  <c r="AA70" i="5"/>
  <c r="AA72" i="5"/>
  <c r="AA74" i="5"/>
  <c r="AA77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5" i="5"/>
  <c r="AA108" i="5"/>
  <c r="AA111" i="5"/>
  <c r="AA112" i="5"/>
  <c r="AA113" i="5"/>
  <c r="AA114" i="5"/>
  <c r="AA115" i="5"/>
  <c r="AA116" i="5"/>
  <c r="AA118" i="5"/>
  <c r="AA121" i="5"/>
  <c r="AA122" i="5"/>
  <c r="AA123" i="5"/>
  <c r="AA125" i="5"/>
  <c r="AA126" i="5"/>
  <c r="AA127" i="5"/>
  <c r="AA128" i="5"/>
  <c r="AA130" i="5"/>
  <c r="AA132" i="5"/>
  <c r="AA133" i="5"/>
  <c r="AA134" i="5"/>
  <c r="AA136" i="5"/>
  <c r="AA138" i="5"/>
  <c r="AA140" i="5"/>
  <c r="AA145" i="5"/>
  <c r="AA146" i="5"/>
  <c r="AA148" i="5"/>
  <c r="AA149" i="5"/>
  <c r="AA150" i="5"/>
  <c r="AA151" i="5"/>
  <c r="AA152" i="5"/>
  <c r="AA153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88" i="5"/>
  <c r="AA189" i="5"/>
  <c r="AA191" i="5"/>
  <c r="AA192" i="5"/>
  <c r="AA193" i="5"/>
  <c r="AA194" i="5"/>
  <c r="AA195" i="5"/>
  <c r="AA196" i="5"/>
  <c r="AA197" i="5"/>
  <c r="AA198" i="5"/>
  <c r="AA199" i="5"/>
  <c r="AA200" i="5"/>
  <c r="AA207" i="5"/>
  <c r="AA209" i="5"/>
  <c r="AA210" i="5"/>
  <c r="AA219" i="5"/>
  <c r="AA224" i="5"/>
  <c r="AA227" i="5"/>
  <c r="AA228" i="5"/>
  <c r="AA233" i="5"/>
  <c r="AA235" i="5"/>
  <c r="AA236" i="5"/>
  <c r="AA243" i="5"/>
  <c r="AA246" i="5"/>
  <c r="AA254" i="5"/>
  <c r="AA263" i="5"/>
  <c r="AA264" i="5"/>
  <c r="AA267" i="5"/>
  <c r="AA273" i="5"/>
  <c r="AA284" i="5"/>
  <c r="AA285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8" i="5"/>
  <c r="AA319" i="5"/>
  <c r="AA321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" i="5"/>
  <c r="AA279" i="5"/>
  <c r="AA262" i="5"/>
  <c r="AA261" i="5"/>
  <c r="AA258" i="5"/>
  <c r="AA256" i="5"/>
  <c r="AA244" i="5"/>
  <c r="AA240" i="5"/>
  <c r="AA247" i="5"/>
  <c r="AA234" i="5"/>
  <c r="AA232" i="5"/>
  <c r="AA229" i="5"/>
  <c r="AA226" i="5"/>
  <c r="AA222" i="5"/>
  <c r="AA220" i="5"/>
  <c r="AA238" i="5"/>
  <c r="AA217" i="5"/>
  <c r="AA212" i="5"/>
  <c r="AA211" i="5"/>
  <c r="AA204" i="5"/>
  <c r="AA203" i="5"/>
  <c r="AA142" i="5"/>
  <c r="AA60" i="5"/>
  <c r="AA201" i="5" l="1"/>
  <c r="AA216" i="5"/>
  <c r="AA208" i="5"/>
  <c r="AA144" i="5"/>
  <c r="AA64" i="5"/>
  <c r="AA260" i="5"/>
  <c r="AA223" i="5"/>
  <c r="AA214" i="5"/>
  <c r="AA206" i="5"/>
  <c r="AA259" i="5"/>
  <c r="AA241" i="5"/>
  <c r="AA231" i="5"/>
  <c r="AA213" i="5"/>
  <c r="AA205" i="5"/>
  <c r="AA215" i="5"/>
  <c r="AA248" i="5"/>
  <c r="AA230" i="5"/>
  <c r="AA221" i="5"/>
  <c r="K176" i="5" l="1"/>
  <c r="M176" i="5" s="1"/>
  <c r="K174" i="5"/>
  <c r="M174" i="5" s="1"/>
  <c r="K347" i="5"/>
  <c r="M347" i="5" s="1"/>
  <c r="K346" i="5"/>
  <c r="M346" i="5" s="1"/>
  <c r="K345" i="5"/>
  <c r="M345" i="5" s="1"/>
  <c r="K344" i="5"/>
  <c r="M344" i="5" s="1"/>
  <c r="K343" i="5"/>
  <c r="M343" i="5" s="1"/>
  <c r="K342" i="5"/>
  <c r="M342" i="5" s="1"/>
  <c r="K341" i="5"/>
  <c r="M341" i="5" s="1"/>
  <c r="K340" i="5"/>
  <c r="M340" i="5" s="1"/>
  <c r="K339" i="5"/>
  <c r="M339" i="5" s="1"/>
  <c r="K338" i="5"/>
  <c r="M338" i="5" s="1"/>
  <c r="K337" i="5"/>
  <c r="M337" i="5" s="1"/>
  <c r="K336" i="5"/>
  <c r="M336" i="5" s="1"/>
  <c r="K335" i="5"/>
  <c r="M335" i="5" s="1"/>
  <c r="K334" i="5"/>
  <c r="K333" i="5"/>
  <c r="M333" i="5" s="1"/>
  <c r="K329" i="5"/>
  <c r="M329" i="5" s="1"/>
  <c r="K328" i="5"/>
  <c r="M328" i="5" s="1"/>
  <c r="K327" i="5"/>
  <c r="M327" i="5" s="1"/>
  <c r="K326" i="5"/>
  <c r="M326" i="5" s="1"/>
  <c r="K325" i="5"/>
  <c r="M325" i="5" s="1"/>
  <c r="K324" i="5"/>
  <c r="M324" i="5" s="1"/>
  <c r="K321" i="5"/>
  <c r="M321" i="5" s="1"/>
  <c r="K319" i="5"/>
  <c r="M319" i="5" s="1"/>
  <c r="K318" i="5"/>
  <c r="M318" i="5" s="1"/>
  <c r="K316" i="5"/>
  <c r="M316" i="5" s="1"/>
  <c r="K311" i="5"/>
  <c r="M311" i="5" s="1"/>
  <c r="K310" i="5"/>
  <c r="M310" i="5" s="1"/>
  <c r="K301" i="5"/>
  <c r="M301" i="5" s="1"/>
  <c r="K300" i="5"/>
  <c r="M300" i="5" s="1"/>
  <c r="K299" i="5"/>
  <c r="M299" i="5" s="1"/>
  <c r="K298" i="5"/>
  <c r="M298" i="5" s="1"/>
  <c r="K297" i="5"/>
  <c r="M297" i="5" s="1"/>
  <c r="K296" i="5"/>
  <c r="M296" i="5" s="1"/>
  <c r="K295" i="5"/>
  <c r="M295" i="5" s="1"/>
  <c r="K294" i="5"/>
  <c r="M294" i="5" s="1"/>
  <c r="K293" i="5"/>
  <c r="M293" i="5" s="1"/>
  <c r="K292" i="5"/>
  <c r="M292" i="5" s="1"/>
  <c r="K291" i="5"/>
  <c r="M291" i="5" s="1"/>
  <c r="K290" i="5"/>
  <c r="M290" i="5" s="1"/>
  <c r="K289" i="5"/>
  <c r="M289" i="5" s="1"/>
  <c r="K287" i="5"/>
  <c r="M287" i="5" s="1"/>
  <c r="K286" i="5"/>
  <c r="M286" i="5" s="1"/>
  <c r="K285" i="5"/>
  <c r="M285" i="5" s="1"/>
  <c r="K284" i="5"/>
  <c r="M284" i="5" s="1"/>
  <c r="K283" i="5"/>
  <c r="M283" i="5" s="1"/>
  <c r="K282" i="5"/>
  <c r="M282" i="5" s="1"/>
  <c r="K280" i="5"/>
  <c r="M280" i="5" s="1"/>
  <c r="K279" i="5"/>
  <c r="M279" i="5" s="1"/>
  <c r="K273" i="5"/>
  <c r="M273" i="5" s="1"/>
  <c r="K267" i="5"/>
  <c r="M267" i="5" s="1"/>
  <c r="K264" i="5"/>
  <c r="M264" i="5" s="1"/>
  <c r="K263" i="5"/>
  <c r="M263" i="5" s="1"/>
  <c r="K262" i="5"/>
  <c r="M262" i="5" s="1"/>
  <c r="K261" i="5"/>
  <c r="M261" i="5" s="1"/>
  <c r="K260" i="5"/>
  <c r="M260" i="5" s="1"/>
  <c r="K259" i="5"/>
  <c r="M259" i="5" s="1"/>
  <c r="K258" i="5"/>
  <c r="M258" i="5" s="1"/>
  <c r="M256" i="5"/>
  <c r="K254" i="5"/>
  <c r="M254" i="5" s="1"/>
  <c r="K253" i="5"/>
  <c r="M253" i="5" s="1"/>
  <c r="K252" i="5"/>
  <c r="M252" i="5" s="1"/>
  <c r="K251" i="5"/>
  <c r="M251" i="5" s="1"/>
  <c r="K250" i="5"/>
  <c r="M250" i="5" s="1"/>
  <c r="K249" i="5"/>
  <c r="M249" i="5" s="1"/>
  <c r="K248" i="5"/>
  <c r="M248" i="5" s="1"/>
  <c r="K247" i="5"/>
  <c r="M247" i="5" s="1"/>
  <c r="K246" i="5"/>
  <c r="M246" i="5" s="1"/>
  <c r="K245" i="5"/>
  <c r="M245" i="5" s="1"/>
  <c r="K244" i="5"/>
  <c r="M244" i="5" s="1"/>
  <c r="K243" i="5"/>
  <c r="M243" i="5" s="1"/>
  <c r="K242" i="5"/>
  <c r="K241" i="5"/>
  <c r="M241" i="5" s="1"/>
  <c r="K240" i="5"/>
  <c r="M240" i="5" s="1"/>
  <c r="K236" i="5"/>
  <c r="M236" i="5" s="1"/>
  <c r="K234" i="5"/>
  <c r="M234" i="5" s="1"/>
  <c r="K233" i="5"/>
  <c r="M233" i="5" s="1"/>
  <c r="M232" i="5"/>
  <c r="K231" i="5"/>
  <c r="M231" i="5" s="1"/>
  <c r="K230" i="5"/>
  <c r="M230" i="5" s="1"/>
  <c r="M229" i="5"/>
  <c r="K226" i="5"/>
  <c r="M226" i="5" s="1"/>
  <c r="K224" i="5"/>
  <c r="M224" i="5" s="1"/>
  <c r="K223" i="5"/>
  <c r="M223" i="5" s="1"/>
  <c r="M222" i="5"/>
  <c r="K219" i="5"/>
  <c r="M219" i="5" s="1"/>
  <c r="K217" i="5"/>
  <c r="M217" i="5" s="1"/>
  <c r="K212" i="5"/>
  <c r="M212" i="5" s="1"/>
  <c r="K203" i="5"/>
  <c r="M203" i="5" s="1"/>
  <c r="K201" i="5"/>
  <c r="M201" i="5" s="1"/>
  <c r="K200" i="5"/>
  <c r="M200" i="5" s="1"/>
  <c r="K199" i="5"/>
  <c r="M199" i="5" s="1"/>
  <c r="K198" i="5"/>
  <c r="M198" i="5" s="1"/>
  <c r="K197" i="5"/>
  <c r="M197" i="5" s="1"/>
  <c r="K196" i="5"/>
  <c r="M196" i="5" s="1"/>
  <c r="K195" i="5"/>
  <c r="M195" i="5" s="1"/>
  <c r="K194" i="5"/>
  <c r="M194" i="5" s="1"/>
  <c r="K189" i="5"/>
  <c r="M189" i="5" s="1"/>
  <c r="K188" i="5"/>
  <c r="M188" i="5" s="1"/>
  <c r="K187" i="5"/>
  <c r="M187" i="5" s="1"/>
  <c r="K185" i="5"/>
  <c r="M185" i="5" s="1"/>
  <c r="K183" i="5"/>
  <c r="M183" i="5" s="1"/>
  <c r="K181" i="5"/>
  <c r="M181" i="5" s="1"/>
  <c r="K180" i="5"/>
  <c r="M180" i="5" s="1"/>
  <c r="K175" i="5"/>
  <c r="M175" i="5" s="1"/>
  <c r="K173" i="5"/>
  <c r="M173" i="5" s="1"/>
  <c r="K171" i="5"/>
  <c r="M171" i="5" s="1"/>
  <c r="K167" i="5"/>
  <c r="M167" i="5" s="1"/>
  <c r="K163" i="5"/>
  <c r="M163" i="5" s="1"/>
  <c r="K162" i="5"/>
  <c r="M162" i="5" s="1"/>
  <c r="M160" i="5"/>
  <c r="M159" i="5"/>
  <c r="K158" i="5"/>
  <c r="M158" i="5" s="1"/>
  <c r="K157" i="5"/>
  <c r="M157" i="5" s="1"/>
  <c r="K156" i="5"/>
  <c r="M156" i="5" s="1"/>
  <c r="K155" i="5"/>
  <c r="M155" i="5" s="1"/>
  <c r="K153" i="5"/>
  <c r="M153" i="5" s="1"/>
  <c r="K152" i="5"/>
  <c r="M152" i="5" s="1"/>
  <c r="K151" i="5"/>
  <c r="M151" i="5" s="1"/>
  <c r="K150" i="5"/>
  <c r="M150" i="5" s="1"/>
  <c r="K149" i="5"/>
  <c r="M149" i="5" s="1"/>
  <c r="K148" i="5"/>
  <c r="M148" i="5" s="1"/>
  <c r="K146" i="5"/>
  <c r="M146" i="5" s="1"/>
  <c r="K145" i="5"/>
  <c r="M145" i="5" s="1"/>
  <c r="K144" i="5"/>
  <c r="M144" i="5" s="1"/>
  <c r="K142" i="5"/>
  <c r="M142" i="5" s="1"/>
  <c r="M140" i="5"/>
  <c r="K138" i="5"/>
  <c r="M138" i="5" s="1"/>
  <c r="K136" i="5"/>
  <c r="M136" i="5" s="1"/>
  <c r="K134" i="5"/>
  <c r="M134" i="5" s="1"/>
  <c r="K133" i="5"/>
  <c r="M133" i="5" s="1"/>
  <c r="K132" i="5"/>
  <c r="M132" i="5" s="1"/>
  <c r="K128" i="5"/>
  <c r="M128" i="5" s="1"/>
  <c r="K127" i="5"/>
  <c r="M127" i="5" s="1"/>
  <c r="K126" i="5"/>
  <c r="M126" i="5" s="1"/>
  <c r="K125" i="5"/>
  <c r="K123" i="5"/>
  <c r="M123" i="5" s="1"/>
  <c r="K122" i="5"/>
  <c r="M122" i="5" s="1"/>
  <c r="K121" i="5"/>
  <c r="M121" i="5" s="1"/>
  <c r="M118" i="5"/>
  <c r="K116" i="5"/>
  <c r="M116" i="5" s="1"/>
  <c r="K115" i="5"/>
  <c r="M115" i="5" s="1"/>
  <c r="K114" i="5"/>
  <c r="M114" i="5" s="1"/>
  <c r="K113" i="5"/>
  <c r="M113" i="5" s="1"/>
  <c r="K112" i="5"/>
  <c r="M112" i="5" s="1"/>
  <c r="K111" i="5"/>
  <c r="M111" i="5" s="1"/>
  <c r="K108" i="5"/>
  <c r="M108" i="5" s="1"/>
  <c r="K105" i="5"/>
  <c r="M105" i="5" s="1"/>
  <c r="K103" i="5"/>
  <c r="M103" i="5" s="1"/>
  <c r="K102" i="5"/>
  <c r="M102" i="5" s="1"/>
  <c r="K82" i="5"/>
  <c r="M82" i="5" s="1"/>
  <c r="K81" i="5"/>
  <c r="M81" i="5" s="1"/>
  <c r="K80" i="5"/>
  <c r="M80" i="5" s="1"/>
  <c r="K79" i="5"/>
  <c r="M79" i="5" s="1"/>
  <c r="K77" i="5"/>
  <c r="M77" i="5" s="1"/>
  <c r="K74" i="5"/>
  <c r="M74" i="5" s="1"/>
  <c r="K72" i="5"/>
  <c r="M72" i="5" s="1"/>
  <c r="K70" i="5"/>
  <c r="M70" i="5" s="1"/>
  <c r="K69" i="5"/>
  <c r="M69" i="5" s="1"/>
  <c r="K67" i="5"/>
  <c r="M67" i="5" s="1"/>
  <c r="K66" i="5"/>
  <c r="M66" i="5" s="1"/>
  <c r="K64" i="5"/>
  <c r="M64" i="5" s="1"/>
  <c r="K60" i="5"/>
  <c r="M60" i="5" s="1"/>
  <c r="K58" i="5"/>
  <c r="M58" i="5" s="1"/>
  <c r="K56" i="5"/>
  <c r="M56" i="5" s="1"/>
  <c r="K54" i="5"/>
  <c r="M54" i="5" s="1"/>
  <c r="K51" i="5"/>
  <c r="M51" i="5" s="1"/>
  <c r="K50" i="5"/>
  <c r="M50" i="5" s="1"/>
  <c r="K49" i="5"/>
  <c r="M49" i="5" s="1"/>
  <c r="K48" i="5"/>
  <c r="M48" i="5" s="1"/>
  <c r="K47" i="5"/>
  <c r="M47" i="5" s="1"/>
  <c r="K46" i="5"/>
  <c r="M46" i="5" s="1"/>
  <c r="K45" i="5"/>
  <c r="M45" i="5" s="1"/>
  <c r="K43" i="5"/>
  <c r="M43" i="5" s="1"/>
  <c r="K41" i="5"/>
  <c r="M41" i="5" s="1"/>
  <c r="K40" i="5"/>
  <c r="M40" i="5" s="1"/>
  <c r="K38" i="5"/>
  <c r="M38" i="5" s="1"/>
  <c r="K36" i="5"/>
  <c r="M36" i="5" s="1"/>
  <c r="K35" i="5"/>
  <c r="M35" i="5" s="1"/>
  <c r="K34" i="5"/>
  <c r="M34" i="5" s="1"/>
  <c r="K33" i="5"/>
  <c r="M33" i="5" s="1"/>
  <c r="K32" i="5"/>
  <c r="M32" i="5" s="1"/>
  <c r="K31" i="5"/>
  <c r="M31" i="5" s="1"/>
  <c r="K30" i="5"/>
  <c r="M30" i="5" s="1"/>
  <c r="K29" i="5"/>
  <c r="M29" i="5" s="1"/>
  <c r="K28" i="5"/>
  <c r="M28" i="5" s="1"/>
  <c r="K26" i="5"/>
  <c r="M26" i="5" s="1"/>
  <c r="K25" i="5"/>
  <c r="K21" i="5"/>
  <c r="M21" i="5" s="1"/>
  <c r="K20" i="5"/>
  <c r="M20" i="5" s="1"/>
  <c r="K18" i="5"/>
  <c r="M18" i="5" s="1"/>
  <c r="K17" i="5"/>
  <c r="M17" i="5" s="1"/>
  <c r="K16" i="5"/>
  <c r="M16" i="5" s="1"/>
  <c r="K15" i="5"/>
  <c r="K13" i="5"/>
  <c r="J1" i="5"/>
  <c r="I1" i="5"/>
  <c r="M242" i="5" l="1"/>
  <c r="E6" i="7"/>
  <c r="K1" i="5"/>
  <c r="M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m.lavanchy</author>
  </authors>
  <commentList>
    <comment ref="L3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incorporado vitrina falabella DA y MX</t>
        </r>
      </text>
    </comment>
    <comment ref="O49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Faltan 1,5 MM por hacer
</t>
        </r>
      </text>
    </comment>
  </commentList>
</comments>
</file>

<file path=xl/sharedStrings.xml><?xml version="1.0" encoding="utf-8"?>
<sst xmlns="http://schemas.openxmlformats.org/spreadsheetml/2006/main" count="3914" uniqueCount="488">
  <si>
    <t>Enviado a cris</t>
  </si>
  <si>
    <t>Hacer PPT</t>
  </si>
  <si>
    <t>Enviado a andrea</t>
  </si>
  <si>
    <t>REPORTADO</t>
  </si>
  <si>
    <t xml:space="preserve">TTL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</si>
  <si>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</si>
  <si>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</si>
  <si>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</si>
  <si>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</si>
  <si>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</si>
  <si>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</si>
  <si>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</si>
  <si>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</si>
  <si>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Septiembre+ Cyber</t>
  </si>
  <si>
    <t>Octubre</t>
  </si>
  <si>
    <t>Noviembre</t>
  </si>
  <si>
    <t>Diciembre</t>
  </si>
  <si>
    <t>Total</t>
  </si>
  <si>
    <t>Falabella HHP</t>
  </si>
  <si>
    <t>CERRADO</t>
  </si>
  <si>
    <t>Falabella TAB</t>
  </si>
  <si>
    <t>Falabella NPC</t>
  </si>
  <si>
    <t>Falabella WEAR</t>
  </si>
  <si>
    <t>Paris HHP</t>
  </si>
  <si>
    <t>Paris TAB</t>
  </si>
  <si>
    <t>Paris NPC</t>
  </si>
  <si>
    <t>Paris WEAR</t>
  </si>
  <si>
    <t>Ripley  HHP</t>
  </si>
  <si>
    <t>Ripley TAB</t>
  </si>
  <si>
    <t>Ripley NPC</t>
  </si>
  <si>
    <t>Ripley  WEAR</t>
  </si>
  <si>
    <t>Abcdin</t>
  </si>
  <si>
    <t>Hites</t>
  </si>
  <si>
    <t xml:space="preserve">Travel </t>
  </si>
  <si>
    <t>Mercado Libre</t>
  </si>
  <si>
    <t>Enviado a Edu</t>
  </si>
  <si>
    <t>ENTREGADO</t>
  </si>
  <si>
    <t>Octubre  + S24 FE</t>
  </si>
  <si>
    <t>Disponible</t>
  </si>
  <si>
    <t>$1.500.000 </t>
  </si>
  <si>
    <t>Retail</t>
  </si>
  <si>
    <t>PP</t>
  </si>
  <si>
    <t>OC</t>
  </si>
  <si>
    <t>Status Sistema</t>
  </si>
  <si>
    <t>Imputado</t>
  </si>
  <si>
    <t>Fecha Inicio</t>
  </si>
  <si>
    <t>Fecha Fin</t>
  </si>
  <si>
    <t>Año</t>
  </si>
  <si>
    <t>Usado Sistema</t>
  </si>
  <si>
    <t>Disponible Uso</t>
  </si>
  <si>
    <t>Comprometido Retail</t>
  </si>
  <si>
    <t>Disponible Retail</t>
  </si>
  <si>
    <t>Campaign ID</t>
  </si>
  <si>
    <t>Descripción</t>
  </si>
  <si>
    <t>Vehiculo</t>
  </si>
  <si>
    <t>Evidencia Enviada</t>
  </si>
  <si>
    <t>Acción</t>
  </si>
  <si>
    <t>Periodo Pago Retail</t>
  </si>
  <si>
    <t>PPT</t>
  </si>
  <si>
    <t>Factura</t>
  </si>
  <si>
    <t>Impresiones</t>
  </si>
  <si>
    <t>Clics</t>
  </si>
  <si>
    <t>CPC</t>
  </si>
  <si>
    <t>CTR</t>
  </si>
  <si>
    <t>Cencosud Retail S.A.</t>
  </si>
  <si>
    <t>A24C850000149</t>
  </si>
  <si>
    <t>T24C850000091</t>
  </si>
  <si>
    <t>Closed</t>
  </si>
  <si>
    <t>P24C850000013</t>
  </si>
  <si>
    <t>HHP</t>
  </si>
  <si>
    <t>DISPLAY</t>
  </si>
  <si>
    <t>Pmax Ene - Feb</t>
  </si>
  <si>
    <t>OK</t>
  </si>
  <si>
    <t>SEARCH</t>
  </si>
  <si>
    <t>A24C850000150</t>
  </si>
  <si>
    <t>T24C850000095</t>
  </si>
  <si>
    <t>Pre/Lanz S24</t>
  </si>
  <si>
    <t>SOCIAL ADS</t>
  </si>
  <si>
    <t>ADS TV</t>
  </si>
  <si>
    <t>A24C850000381</t>
  </si>
  <si>
    <t>T24C850000264</t>
  </si>
  <si>
    <t>P24C850000012</t>
  </si>
  <si>
    <t>NPC</t>
  </si>
  <si>
    <t>Black Friday</t>
  </si>
  <si>
    <t>A24C850000380</t>
  </si>
  <si>
    <t>T24C850000272</t>
  </si>
  <si>
    <t>P24C850000014</t>
  </si>
  <si>
    <t>TABLET</t>
  </si>
  <si>
    <t>AO</t>
  </si>
  <si>
    <t>A24C850000515</t>
  </si>
  <si>
    <t>T24C850000345</t>
  </si>
  <si>
    <t>AO Marzo</t>
  </si>
  <si>
    <t>A24C850000621</t>
  </si>
  <si>
    <t>T24C850000403</t>
  </si>
  <si>
    <t>Completed</t>
  </si>
  <si>
    <t>P24C850000015</t>
  </si>
  <si>
    <t>WEARABLES</t>
  </si>
  <si>
    <t>BLACK FRIDAY</t>
  </si>
  <si>
    <t>Fit3</t>
  </si>
  <si>
    <t>A24C850000530</t>
  </si>
  <si>
    <t>T24C850000360</t>
  </si>
  <si>
    <t>AO Abril</t>
  </si>
  <si>
    <t>A24C850000712</t>
  </si>
  <si>
    <t>T24C850000510</t>
  </si>
  <si>
    <t>Lanzamiento A35|A55</t>
  </si>
  <si>
    <t>T24C850000510 B</t>
  </si>
  <si>
    <t>Enviar OC</t>
  </si>
  <si>
    <t>Telefonía Septiembre</t>
  </si>
  <si>
    <t>T24C850000510 C</t>
  </si>
  <si>
    <t>Computación Diciembre</t>
  </si>
  <si>
    <t>A24C850000791</t>
  </si>
  <si>
    <t>T24C850000561</t>
  </si>
  <si>
    <t>Sustain S24</t>
  </si>
  <si>
    <t>A24C850000538</t>
  </si>
  <si>
    <t>T24C850000363</t>
  </si>
  <si>
    <t>AON Mayo</t>
  </si>
  <si>
    <t>Cyber pt1</t>
  </si>
  <si>
    <t>A24C850000877</t>
  </si>
  <si>
    <t>T24C850000629</t>
  </si>
  <si>
    <t>Cyber pt2</t>
  </si>
  <si>
    <t>A24C850000881</t>
  </si>
  <si>
    <t>T24C850000646</t>
  </si>
  <si>
    <t xml:space="preserve">Perifericos Septiembre </t>
  </si>
  <si>
    <t>A24C850000931</t>
  </si>
  <si>
    <t>T24C850000676</t>
  </si>
  <si>
    <t>A24C850000882</t>
  </si>
  <si>
    <t>T24C850000611</t>
  </si>
  <si>
    <t>AO Julio</t>
  </si>
  <si>
    <t>A24C850000872</t>
  </si>
  <si>
    <t>T24C850000615</t>
  </si>
  <si>
    <t>AO Junio</t>
  </si>
  <si>
    <t>A24C850001114</t>
  </si>
  <si>
    <t>T24C850000802</t>
  </si>
  <si>
    <t>Computación Noviembre</t>
  </si>
  <si>
    <t>T24C850000802 B</t>
  </si>
  <si>
    <t>A24C850001111</t>
  </si>
  <si>
    <t>T24C850000807</t>
  </si>
  <si>
    <t>Samsung Week</t>
  </si>
  <si>
    <t>AI Week</t>
  </si>
  <si>
    <t>T24C850000807 B</t>
  </si>
  <si>
    <t>A24C850001148</t>
  </si>
  <si>
    <t>T24C850000874</t>
  </si>
  <si>
    <t>A24C850001171</t>
  </si>
  <si>
    <t>T24C850000875</t>
  </si>
  <si>
    <t>Lanzamiento Watch7</t>
  </si>
  <si>
    <t>A24C850001164</t>
  </si>
  <si>
    <t>T24C850000877</t>
  </si>
  <si>
    <t>AO Agosto</t>
  </si>
  <si>
    <t>A24C850001265</t>
  </si>
  <si>
    <t>T24C850000935</t>
  </si>
  <si>
    <t>T24C850000935 B</t>
  </si>
  <si>
    <t>T24C850000935 C</t>
  </si>
  <si>
    <t>A24C850001285</t>
  </si>
  <si>
    <t>T24C850000953</t>
  </si>
  <si>
    <t>T24C850000953 B</t>
  </si>
  <si>
    <t>A24C850001291</t>
  </si>
  <si>
    <t>T24C850000956</t>
  </si>
  <si>
    <t>T24C850000956 B</t>
  </si>
  <si>
    <t>T24C850000956 C</t>
  </si>
  <si>
    <t>Perifericos Noviembre</t>
  </si>
  <si>
    <t>T24C850000956 D</t>
  </si>
  <si>
    <t>A24C850001590</t>
  </si>
  <si>
    <t>T24C850001139</t>
  </si>
  <si>
    <t>A24C850001594</t>
  </si>
  <si>
    <t>T24C850001143</t>
  </si>
  <si>
    <t>T24C850001143 B</t>
  </si>
  <si>
    <t>Telefonía Octubre</t>
  </si>
  <si>
    <t>A24C850001591</t>
  </si>
  <si>
    <t>T24C850001146</t>
  </si>
  <si>
    <t>Computación Septiembre</t>
  </si>
  <si>
    <t>T24C850001146 B</t>
  </si>
  <si>
    <t>T24C850001146 C</t>
  </si>
  <si>
    <t>Computación Octubre</t>
  </si>
  <si>
    <t>A24C850001596</t>
  </si>
  <si>
    <t>T24C850001150</t>
  </si>
  <si>
    <t>T24C850001150 B</t>
  </si>
  <si>
    <t>Telefonía Noviembre</t>
  </si>
  <si>
    <t>Telefonía Diciembre</t>
  </si>
  <si>
    <t>A24C850001617</t>
  </si>
  <si>
    <t>T24C850001200</t>
  </si>
  <si>
    <t>A24C850001613</t>
  </si>
  <si>
    <t>T24C850001205</t>
  </si>
  <si>
    <t>COMERCIAL ECCSA S A</t>
  </si>
  <si>
    <t>T24C850000092</t>
  </si>
  <si>
    <t>AO Febrero</t>
  </si>
  <si>
    <t>T24C850000096</t>
  </si>
  <si>
    <t>T24C850000265</t>
  </si>
  <si>
    <t>R Black ECO</t>
  </si>
  <si>
    <t>T24C850000273</t>
  </si>
  <si>
    <t>A24C850000517</t>
  </si>
  <si>
    <t>T24C850000344</t>
  </si>
  <si>
    <t>A24C850000623</t>
  </si>
  <si>
    <t>T24C850000404</t>
  </si>
  <si>
    <t>Galaxy Fit 3</t>
  </si>
  <si>
    <t>A24C850000531</t>
  </si>
  <si>
    <t>T24C850000361</t>
  </si>
  <si>
    <t>T24C850000511</t>
  </si>
  <si>
    <t>A25/A55</t>
  </si>
  <si>
    <t>A24C850000813</t>
  </si>
  <si>
    <t>T24C850000550</t>
  </si>
  <si>
    <t>Galaxy Week</t>
  </si>
  <si>
    <t>A24C850000789</t>
  </si>
  <si>
    <t>T24C850000570</t>
  </si>
  <si>
    <t>A24C850000790</t>
  </si>
  <si>
    <t>T24C850000572</t>
  </si>
  <si>
    <t>A24C850000539</t>
  </si>
  <si>
    <t>T24C850000359</t>
  </si>
  <si>
    <t>AO Mayo</t>
  </si>
  <si>
    <t>T24C850000359 B</t>
  </si>
  <si>
    <t>T24C850000630</t>
  </si>
  <si>
    <t>Cyber ECO</t>
  </si>
  <si>
    <t>T24C850000630 B</t>
  </si>
  <si>
    <t>AO JULIO NPC-TAB</t>
  </si>
  <si>
    <t>T24C850000630 C</t>
  </si>
  <si>
    <t>AI WEEK NPC-TAB</t>
  </si>
  <si>
    <t>T24C850000647</t>
  </si>
  <si>
    <t>T24C850000677</t>
  </si>
  <si>
    <t>T24C850000612</t>
  </si>
  <si>
    <t>A24C850000874</t>
  </si>
  <si>
    <t>T24C850000616</t>
  </si>
  <si>
    <t xml:space="preserve">T24C850000616 C </t>
  </si>
  <si>
    <t>AO Julio / GW / AW</t>
  </si>
  <si>
    <t>T24C850000616 B</t>
  </si>
  <si>
    <t>T24C850000803</t>
  </si>
  <si>
    <t>T24C850000808</t>
  </si>
  <si>
    <t>A24C850001174</t>
  </si>
  <si>
    <t>T24C850000873</t>
  </si>
  <si>
    <t>Watch 7 Pendiente</t>
  </si>
  <si>
    <t>Pendiente</t>
  </si>
  <si>
    <t>A24C850001165</t>
  </si>
  <si>
    <t>T24C850000878</t>
  </si>
  <si>
    <t>T24C850000878 B</t>
  </si>
  <si>
    <t>AO AGOSTO NPC-TAB</t>
  </si>
  <si>
    <t>A24C850001149</t>
  </si>
  <si>
    <t>T24C850000879</t>
  </si>
  <si>
    <t>A24C850001266</t>
  </si>
  <si>
    <t>T24C850000944</t>
  </si>
  <si>
    <t>T24C850000944 B</t>
  </si>
  <si>
    <t>Q3 Computación</t>
  </si>
  <si>
    <t>A24C850001283</t>
  </si>
  <si>
    <t>T24C850000954</t>
  </si>
  <si>
    <t>AO Agosto +GW</t>
  </si>
  <si>
    <t>Enviar Septiembre</t>
  </si>
  <si>
    <t>Corregir</t>
  </si>
  <si>
    <t>Q3 HHP</t>
  </si>
  <si>
    <t>A24C850001290</t>
  </si>
  <si>
    <t>T24C850000957</t>
  </si>
  <si>
    <t>AO AGOSTO</t>
  </si>
  <si>
    <t>Septiembre - Octubre</t>
  </si>
  <si>
    <t>Enviar Septiembre - Octubre - Noviembre</t>
  </si>
  <si>
    <t>Mando agosto y septiembre</t>
  </si>
  <si>
    <t>A24C850001341</t>
  </si>
  <si>
    <t>T24C850000979</t>
  </si>
  <si>
    <t>T24C850000979 B</t>
  </si>
  <si>
    <t>Separar OC pedir a TIM</t>
  </si>
  <si>
    <t>T24C850001140</t>
  </si>
  <si>
    <t>1 evidencia de octubre y 1 de nov</t>
  </si>
  <si>
    <t>T24C850001145</t>
  </si>
  <si>
    <t>2 evidencias por mes desde octubre a dic.</t>
  </si>
  <si>
    <t>T24C850001147</t>
  </si>
  <si>
    <t>T24C850001151</t>
  </si>
  <si>
    <t>T24C850001151 B</t>
  </si>
  <si>
    <t>T24C850001201</t>
  </si>
  <si>
    <t>T24C850001206</t>
  </si>
  <si>
    <t>Comercializadora S.A.</t>
  </si>
  <si>
    <t>T24C850000099</t>
  </si>
  <si>
    <t>T24C850001155</t>
  </si>
  <si>
    <t>Hacer</t>
  </si>
  <si>
    <t>Q4</t>
  </si>
  <si>
    <t>Dist. de Industrias Nacionales S.A.</t>
  </si>
  <si>
    <t>T24C850000097</t>
  </si>
  <si>
    <t>Preventa S24</t>
  </si>
  <si>
    <t>Lanzamiento S24</t>
  </si>
  <si>
    <t>T24C850000562</t>
  </si>
  <si>
    <t>Cerrar</t>
  </si>
  <si>
    <t>DUTY FREE TC SA</t>
  </si>
  <si>
    <t>T24C850000102</t>
  </si>
  <si>
    <t>Preventa_Lanzamiento S24</t>
  </si>
  <si>
    <t>A24C850000391</t>
  </si>
  <si>
    <t>T24C850000280 B</t>
  </si>
  <si>
    <t>T24C850000280 C</t>
  </si>
  <si>
    <t>Septiembre</t>
  </si>
  <si>
    <t xml:space="preserve">T24C850000280 </t>
  </si>
  <si>
    <t>T24C850000280-B</t>
  </si>
  <si>
    <t>T24C850000280</t>
  </si>
  <si>
    <t>T24C850000514</t>
  </si>
  <si>
    <t>Lanzamiento A35_A55</t>
  </si>
  <si>
    <t>A24C850000852</t>
  </si>
  <si>
    <t>T24C850000636</t>
  </si>
  <si>
    <t>S24 Jun pt.1</t>
  </si>
  <si>
    <t>Cyber</t>
  </si>
  <si>
    <t>A24C850000876</t>
  </si>
  <si>
    <t>T24C850000642</t>
  </si>
  <si>
    <t>S24</t>
  </si>
  <si>
    <t xml:space="preserve">T24C850001153 </t>
  </si>
  <si>
    <t>T24C850001153 B</t>
  </si>
  <si>
    <t>S24 FE</t>
  </si>
  <si>
    <t>T24C850001202</t>
  </si>
  <si>
    <t>T24C850001207</t>
  </si>
  <si>
    <t>EMPRESAS LA POLAR S.A.</t>
  </si>
  <si>
    <t>T24C850000100</t>
  </si>
  <si>
    <t>T24C850000512</t>
  </si>
  <si>
    <t>T24C850000643</t>
  </si>
  <si>
    <t>T24C850001154</t>
  </si>
  <si>
    <t xml:space="preserve">Septiembre Cyber + Q4 </t>
  </si>
  <si>
    <t>Septiembre Cyber + Q4</t>
  </si>
  <si>
    <t>T24C850001203</t>
  </si>
  <si>
    <t>Falabella Retail S.A.</t>
  </si>
  <si>
    <t>T24C850000090</t>
  </si>
  <si>
    <t>Semana Planes</t>
  </si>
  <si>
    <t>T24C850000094</t>
  </si>
  <si>
    <t>ADS NEWSPAPER</t>
  </si>
  <si>
    <t>A24C850000382</t>
  </si>
  <si>
    <t>T24C850000260</t>
  </si>
  <si>
    <t>SS Week - Black Friday</t>
  </si>
  <si>
    <t>T24C850000263</t>
  </si>
  <si>
    <t>Back to school</t>
  </si>
  <si>
    <t>T24C850000271</t>
  </si>
  <si>
    <t>T24C850000279</t>
  </si>
  <si>
    <t>A24C850000514</t>
  </si>
  <si>
    <t>T24C850000346</t>
  </si>
  <si>
    <t>A24C850000566</t>
  </si>
  <si>
    <t>T24C850000381</t>
  </si>
  <si>
    <t>A24C850000619</t>
  </si>
  <si>
    <t>T24C850000402</t>
  </si>
  <si>
    <t>Black Friday - Galaxy fit3</t>
  </si>
  <si>
    <t>A24C850000690</t>
  </si>
  <si>
    <t>T24C850000459</t>
  </si>
  <si>
    <t>Launch GB4</t>
  </si>
  <si>
    <t>T24C850000459 B</t>
  </si>
  <si>
    <t>Corregida</t>
  </si>
  <si>
    <t>WEAR Septiembre-Cyber-Octubre-S24FE</t>
  </si>
  <si>
    <t>A24C850000529</t>
  </si>
  <si>
    <t>T24C850000362</t>
  </si>
  <si>
    <t>T24C850000509</t>
  </si>
  <si>
    <t>A35/A55</t>
  </si>
  <si>
    <t>A24C850000783</t>
  </si>
  <si>
    <t>T24C850000537</t>
  </si>
  <si>
    <t>T24C850000563</t>
  </si>
  <si>
    <t>Deuda Eco</t>
  </si>
  <si>
    <t>A24C850000794</t>
  </si>
  <si>
    <t>T24C850000573</t>
  </si>
  <si>
    <t>A24C850000534</t>
  </si>
  <si>
    <t>T24C850000357</t>
  </si>
  <si>
    <t>T24C850000357 B</t>
  </si>
  <si>
    <t>A24C850000879</t>
  </si>
  <si>
    <t>T24C850000625</t>
  </si>
  <si>
    <t>T24C850000645</t>
  </si>
  <si>
    <t>T24C850000672</t>
  </si>
  <si>
    <t>T24C850000610 B</t>
  </si>
  <si>
    <t>TAB Septiembre-Cyber-Octubre-S24FE</t>
  </si>
  <si>
    <t>T24C850000610</t>
  </si>
  <si>
    <t>AI Week Julio</t>
  </si>
  <si>
    <t>A24C850000871</t>
  </si>
  <si>
    <t>T24C850000617</t>
  </si>
  <si>
    <t>Cyber  pt2</t>
  </si>
  <si>
    <t>Cyber  pt2 + AO Junio</t>
  </si>
  <si>
    <t>A24C850000967</t>
  </si>
  <si>
    <t>T24C850000718</t>
  </si>
  <si>
    <t>HHP Septiembre-Cyber-Octubre-S24FE</t>
  </si>
  <si>
    <t>A24C850001037</t>
  </si>
  <si>
    <t>T24C850000735</t>
  </si>
  <si>
    <t>T24C850000800</t>
  </si>
  <si>
    <t>T24C850000806</t>
  </si>
  <si>
    <t>A24C850001111 B</t>
  </si>
  <si>
    <t>T24C850000806 B</t>
  </si>
  <si>
    <t>A24C850001147</t>
  </si>
  <si>
    <t>T24C850000871</t>
  </si>
  <si>
    <t>A24C850001163</t>
  </si>
  <si>
    <t>T24C850000881</t>
  </si>
  <si>
    <t>A24C850001169</t>
  </si>
  <si>
    <t>T24C850000883</t>
  </si>
  <si>
    <t>Watch 7 Lanzamiento</t>
  </si>
  <si>
    <t>A24C850001252</t>
  </si>
  <si>
    <t>T24C850000926</t>
  </si>
  <si>
    <t>Junio a Diciembre</t>
  </si>
  <si>
    <t>Microsoft</t>
  </si>
  <si>
    <t>T24C850000926 B</t>
  </si>
  <si>
    <t>Black Out</t>
  </si>
  <si>
    <t>T24C850000926 C</t>
  </si>
  <si>
    <t>Corregir con Septiembre a Nov</t>
  </si>
  <si>
    <t>NPC Septiembre-Cyber-Octubre-S24FE</t>
  </si>
  <si>
    <t>A24C850001263</t>
  </si>
  <si>
    <t>T24C850000943</t>
  </si>
  <si>
    <t>T24C850000943 B</t>
  </si>
  <si>
    <t>Corregir septiembre</t>
  </si>
  <si>
    <t>T24C850000943 C</t>
  </si>
  <si>
    <t>A24C850001288</t>
  </si>
  <si>
    <t>T24C850000955 A</t>
  </si>
  <si>
    <t>T24C850000955</t>
  </si>
  <si>
    <t>Pagara remanente que falta para lo de Vale</t>
  </si>
  <si>
    <t>A24C850001289</t>
  </si>
  <si>
    <t>T24C850000958</t>
  </si>
  <si>
    <t>A24C850001355</t>
  </si>
  <si>
    <t>T24C850000985</t>
  </si>
  <si>
    <t>T24C850000985 B</t>
  </si>
  <si>
    <t>T24C850001138</t>
  </si>
  <si>
    <t>T24C850001142</t>
  </si>
  <si>
    <t>T24C850001144</t>
  </si>
  <si>
    <t>T24C850001149</t>
  </si>
  <si>
    <t>T24C850001199</t>
  </si>
  <si>
    <t>T24C850001204</t>
  </si>
  <si>
    <t>MERCADOLIBRE CHILE LTDA.</t>
  </si>
  <si>
    <t>T24C850000093</t>
  </si>
  <si>
    <t>Meli Fest</t>
  </si>
  <si>
    <t>T24C850000103</t>
  </si>
  <si>
    <t>T24C850000281</t>
  </si>
  <si>
    <t>A24C850000518</t>
  </si>
  <si>
    <t>T24C850000347</t>
  </si>
  <si>
    <t>A24C850000532</t>
  </si>
  <si>
    <t>T24C850000358</t>
  </si>
  <si>
    <t>AON</t>
  </si>
  <si>
    <t>T24C850000515</t>
  </si>
  <si>
    <t>A24C850000541</t>
  </si>
  <si>
    <t>T24C850000365</t>
  </si>
  <si>
    <t>Mal subido</t>
  </si>
  <si>
    <t>A24C850001150</t>
  </si>
  <si>
    <t>T24C850000880</t>
  </si>
  <si>
    <t>AO + Samsung Week</t>
  </si>
  <si>
    <t>T24C850000880 B</t>
  </si>
  <si>
    <t>Septiembre Cyber Octubre S24 FE</t>
  </si>
  <si>
    <t>A24C850001287</t>
  </si>
  <si>
    <t>T24C850000952</t>
  </si>
  <si>
    <t xml:space="preserve">AO </t>
  </si>
  <si>
    <t>T24C850000952 B</t>
  </si>
  <si>
    <t>T24C850001148</t>
  </si>
  <si>
    <t>T24C850001152</t>
  </si>
  <si>
    <t>A24C850001731</t>
  </si>
  <si>
    <t>T24C850001255</t>
  </si>
  <si>
    <t>Personal Computer Factory SA</t>
  </si>
  <si>
    <t>T24C850000101</t>
  </si>
  <si>
    <t>T24C850000262</t>
  </si>
  <si>
    <t>T24C850000270</t>
  </si>
  <si>
    <t xml:space="preserve">Especial Computación </t>
  </si>
  <si>
    <t>T24C850000513</t>
  </si>
  <si>
    <t>T24C850000628</t>
  </si>
  <si>
    <t>A24C850000870</t>
  </si>
  <si>
    <t>T24C850000635</t>
  </si>
  <si>
    <t>T24C850000648</t>
  </si>
  <si>
    <t>T24C850000674</t>
  </si>
  <si>
    <t>T24C850000613</t>
  </si>
  <si>
    <t>T24C850000641</t>
  </si>
  <si>
    <t>Walmart Chile S.A.</t>
  </si>
  <si>
    <t>T24C850000098</t>
  </si>
  <si>
    <t>Start date</t>
  </si>
  <si>
    <t>End date</t>
  </si>
  <si>
    <t>Medio</t>
  </si>
  <si>
    <t>Format</t>
  </si>
  <si>
    <t xml:space="preserve"> Investment </t>
  </si>
  <si>
    <t xml:space="preserve"> Real impressions </t>
  </si>
  <si>
    <t xml:space="preserve"> Real clicks </t>
  </si>
  <si>
    <t xml:space="preserve">Real CTR </t>
  </si>
  <si>
    <t>23/08/2025</t>
  </si>
  <si>
    <t>27/10/2024</t>
  </si>
  <si>
    <t>Falabella</t>
  </si>
  <si>
    <t>Display</t>
  </si>
  <si>
    <t>23/08/2024</t>
  </si>
  <si>
    <t>Google Ads</t>
  </si>
  <si>
    <t>Search</t>
  </si>
  <si>
    <t>Sum of Comprometido Retail</t>
  </si>
  <si>
    <t>Months</t>
  </si>
  <si>
    <t>Months2</t>
  </si>
  <si>
    <t>Mar</t>
  </si>
  <si>
    <t>31-Mar</t>
  </si>
  <si>
    <t>Jun</t>
  </si>
  <si>
    <t>30-Jun</t>
  </si>
  <si>
    <t>1-Jun</t>
  </si>
  <si>
    <t>Aug</t>
  </si>
  <si>
    <t>31-Aug</t>
  </si>
  <si>
    <t>May</t>
  </si>
  <si>
    <t>25-May</t>
  </si>
  <si>
    <t>2-Jun</t>
  </si>
  <si>
    <t>15-Jun</t>
  </si>
  <si>
    <t>12-Jun</t>
  </si>
  <si>
    <t>Sep</t>
  </si>
  <si>
    <t>30-Sep</t>
  </si>
  <si>
    <t>Jul</t>
  </si>
  <si>
    <t>31-Jul</t>
  </si>
  <si>
    <t>Dec</t>
  </si>
  <si>
    <t>31-Dec</t>
  </si>
  <si>
    <t>9-Aug</t>
  </si>
  <si>
    <t>Nov</t>
  </si>
  <si>
    <t>30-Nov</t>
  </si>
  <si>
    <t>23-Aug</t>
  </si>
  <si>
    <t>Grand Total</t>
  </si>
  <si>
    <t>Sum of Disponible Retail</t>
  </si>
  <si>
    <t>Column Labels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</si>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</sst>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-&quot;$&quot;* #,##0_-;\-&quot;$&quot;* #,##0_-;_-&quot;$&quot;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8"/>
      <name val="Arial"/>
      <family val="2"/>
    </font>
    <font>
      <b/>
      <sz val="9"/>
      <color rgb="FF000000"/>
      <name val="Calibri Light"/>
      <family val="2"/>
    </font>
    <font>
      <sz val="9"/>
      <color rgb="FF000000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left"/>
    </xf>
    <xf numFmtId="0" fontId="3" fillId="4" borderId="1" xfId="0" applyFont="1" applyFill="1" applyBorder="1"/>
    <xf numFmtId="0" fontId="3" fillId="0" borderId="0" xfId="0" applyFont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0" fillId="4" borderId="0" xfId="0" applyFill="1"/>
    <xf numFmtId="0" fontId="0" fillId="6" borderId="0" xfId="0" applyFill="1"/>
    <xf numFmtId="165" fontId="2" fillId="0" borderId="5" xfId="0" applyNumberFormat="1" applyFont="1" applyBorder="1"/>
    <xf numFmtId="165" fontId="2" fillId="0" borderId="6" xfId="0" applyNumberFormat="1" applyFont="1" applyBorder="1"/>
    <xf numFmtId="0" fontId="2" fillId="7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42" fontId="0" fillId="0" borderId="0" xfId="4" applyFont="1" applyFill="1" applyAlignment="1">
      <alignment horizontal="right" vertical="center"/>
    </xf>
    <xf numFmtId="165" fontId="2" fillId="0" borderId="0" xfId="0" applyNumberFormat="1" applyFont="1"/>
    <xf numFmtId="3" fontId="0" fillId="0" borderId="0" xfId="0" applyNumberFormat="1"/>
    <xf numFmtId="164" fontId="3" fillId="0" borderId="0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4" fontId="3" fillId="0" borderId="1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/>
    </xf>
    <xf numFmtId="164" fontId="3" fillId="3" borderId="0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3" borderId="1" xfId="1" applyNumberFormat="1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4" fontId="0" fillId="3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3" fillId="0" borderId="1" xfId="0" applyFont="1" applyBorder="1"/>
    <xf numFmtId="165" fontId="2" fillId="0" borderId="10" xfId="0" applyNumberFormat="1" applyFont="1" applyBorder="1"/>
    <xf numFmtId="42" fontId="2" fillId="7" borderId="0" xfId="5" applyFont="1" applyFill="1" applyAlignment="1">
      <alignment horizontal="center"/>
    </xf>
    <xf numFmtId="42" fontId="0" fillId="0" borderId="0" xfId="5" applyFont="1" applyFill="1" applyAlignment="1">
      <alignment horizontal="right" vertical="center"/>
    </xf>
    <xf numFmtId="42" fontId="5" fillId="0" borderId="0" xfId="4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0" fillId="9" borderId="0" xfId="1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42" fontId="0" fillId="0" borderId="0" xfId="0" applyNumberFormat="1"/>
    <xf numFmtId="164" fontId="0" fillId="0" borderId="0" xfId="0" applyNumberFormat="1"/>
    <xf numFmtId="42" fontId="0" fillId="6" borderId="0" xfId="4" applyFont="1" applyFill="1" applyAlignment="1">
      <alignment horizontal="right" vertical="center"/>
    </xf>
    <xf numFmtId="42" fontId="0" fillId="6" borderId="0" xfId="5" applyFont="1" applyFill="1" applyAlignment="1">
      <alignment horizontal="right" vertical="center"/>
    </xf>
    <xf numFmtId="42" fontId="5" fillId="6" borderId="0" xfId="4" applyFont="1" applyFill="1" applyAlignment="1">
      <alignment horizontal="right" vertical="center"/>
    </xf>
    <xf numFmtId="42" fontId="5" fillId="6" borderId="0" xfId="5" applyFont="1" applyFill="1" applyAlignment="1">
      <alignment horizontal="right" vertical="center"/>
    </xf>
    <xf numFmtId="14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0" applyNumberFormat="1"/>
    <xf numFmtId="1" fontId="0" fillId="0" borderId="0" xfId="0" applyNumberFormat="1"/>
    <xf numFmtId="14" fontId="0" fillId="0" borderId="0" xfId="0" applyNumberFormat="1"/>
    <xf numFmtId="0" fontId="9" fillId="10" borderId="11" xfId="0" applyFont="1" applyFill="1" applyBorder="1" applyAlignment="1">
      <alignment horizontal="right" readingOrder="1"/>
    </xf>
    <xf numFmtId="14" fontId="10" fillId="0" borderId="11" xfId="0" applyNumberFormat="1" applyFont="1" applyBorder="1" applyAlignment="1">
      <alignment horizontal="right" readingOrder="1"/>
    </xf>
    <xf numFmtId="0" fontId="8" fillId="0" borderId="12" xfId="0" applyFont="1" applyBorder="1" applyAlignment="1">
      <alignment horizontal="right" readingOrder="1"/>
    </xf>
    <xf numFmtId="0" fontId="8" fillId="0" borderId="13" xfId="0" applyFont="1" applyBorder="1" applyAlignment="1">
      <alignment horizontal="right" readingOrder="1"/>
    </xf>
    <xf numFmtId="0" fontId="0" fillId="0" borderId="0" xfId="0" applyAlignment="1">
      <alignment readingOrder="1"/>
    </xf>
    <xf numFmtId="167" fontId="9" fillId="11" borderId="11" xfId="6" applyNumberFormat="1" applyFont="1" applyFill="1" applyBorder="1" applyAlignment="1">
      <alignment horizontal="right" readingOrder="1"/>
    </xf>
    <xf numFmtId="167" fontId="10" fillId="0" borderId="11" xfId="6" applyNumberFormat="1" applyFont="1" applyBorder="1" applyAlignment="1">
      <alignment horizontal="right" readingOrder="1"/>
    </xf>
    <xf numFmtId="168" fontId="10" fillId="0" borderId="11" xfId="7" applyNumberFormat="1" applyFont="1" applyBorder="1" applyAlignment="1">
      <alignment horizontal="right" readingOrder="1"/>
    </xf>
    <xf numFmtId="10" fontId="10" fillId="0" borderId="11" xfId="7" applyNumberFormat="1" applyFont="1" applyBorder="1" applyAlignment="1">
      <alignment horizontal="right" readingOrder="1"/>
    </xf>
    <xf numFmtId="167" fontId="9" fillId="11" borderId="11" xfId="0" applyNumberFormat="1" applyFont="1" applyFill="1" applyBorder="1" applyAlignment="1">
      <alignment horizontal="right" readingOrder="1"/>
    </xf>
    <xf numFmtId="168" fontId="10" fillId="0" borderId="11" xfId="0" applyNumberFormat="1" applyFont="1" applyBorder="1" applyAlignment="1">
      <alignment horizontal="right" readingOrder="1"/>
    </xf>
    <xf numFmtId="167" fontId="10" fillId="0" borderId="11" xfId="0" applyNumberFormat="1" applyFont="1" applyBorder="1" applyAlignment="1">
      <alignment horizontal="right" readingOrder="1"/>
    </xf>
    <xf numFmtId="167" fontId="9" fillId="0" borderId="11" xfId="0" applyNumberFormat="1" applyFont="1" applyBorder="1" applyAlignment="1">
      <alignment horizontal="right" readingOrder="1"/>
    </xf>
    <xf numFmtId="42" fontId="0" fillId="0" borderId="0" xfId="5" applyFont="1"/>
    <xf numFmtId="0" fontId="0" fillId="4" borderId="0" xfId="0" applyFill="1" applyAlignment="1">
      <alignment horizontal="center"/>
    </xf>
    <xf numFmtId="14" fontId="0" fillId="4" borderId="0" xfId="0" applyNumberFormat="1" applyFill="1" applyAlignment="1">
      <alignment horizontal="center"/>
    </xf>
    <xf numFmtId="164" fontId="0" fillId="4" borderId="0" xfId="1" applyNumberFormat="1" applyFont="1" applyFill="1" applyAlignment="1">
      <alignment horizontal="center"/>
    </xf>
    <xf numFmtId="0" fontId="10" fillId="0" borderId="11" xfId="0" applyFont="1" applyBorder="1" applyAlignment="1">
      <alignment horizontal="right" readingOrder="1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</cellXfs>
  <cellStyles count="8">
    <cellStyle name="Comma" xfId="6" builtinId="3"/>
    <cellStyle name="Currency" xfId="1" builtinId="4"/>
    <cellStyle name="Currency [0]" xfId="5" builtinId="7"/>
    <cellStyle name="Currency [0] 2" xfId="4" xr:uid="{00000000-0005-0000-0000-000003000000}"/>
    <cellStyle name="Currency 2" xfId="3" xr:uid="{00000000-0005-0000-0000-000004000000}"/>
    <cellStyle name="Moneda [0] 2" xfId="2" xr:uid="{00000000-0005-0000-0000-000005000000}"/>
    <cellStyle name="Normal" xfId="0" builtinId="0"/>
    <cellStyle name="Percent" xfId="7" builtinId="5"/>
  </cellStyles>
  <dxfs count="3">
    <dxf>
      <numFmt numFmtId="167" formatCode="_(* #,##0_);_(* \(#,##0\);_(* &quot;-&quot;??_);_(@_)"/>
    </dxf>
    <dxf>
      <numFmt numFmtId="169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11</xdr:row>
      <xdr:rowOff>68580</xdr:rowOff>
    </xdr:from>
    <xdr:to>
      <xdr:col>11</xdr:col>
      <xdr:colOff>411480</xdr:colOff>
      <xdr:row>16</xdr:row>
      <xdr:rowOff>7620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2186940"/>
          <a:ext cx="6858000" cy="853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.lavanchy\Desktop\planilla%20seguimiento%20pa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  <sheetName val="Sheet2"/>
    </sheetNames>
    <sheetDataSet>
      <sheetData sheetId="0">
        <row r="1">
          <cell r="C1" t="str">
            <v>Order ID</v>
          </cell>
          <cell r="D1" t="str">
            <v>Proposal ID</v>
          </cell>
          <cell r="E1" t="str">
            <v>Provisionado o cerrado</v>
          </cell>
          <cell r="F1" t="str">
            <v>Usado</v>
          </cell>
          <cell r="G1" t="str">
            <v>Division Desc</v>
          </cell>
          <cell r="H1" t="str">
            <v>Title</v>
          </cell>
          <cell r="I1" t="str">
            <v>Status Desc</v>
          </cell>
          <cell r="J1" t="str">
            <v>Owner</v>
          </cell>
          <cell r="K1" t="str">
            <v>Plan start date</v>
          </cell>
          <cell r="L1" t="str">
            <v>Plan end date</v>
          </cell>
          <cell r="M1" t="str">
            <v>Division</v>
          </cell>
          <cell r="N1" t="str">
            <v>Level 2 Desc</v>
          </cell>
          <cell r="O1" t="str">
            <v>Level 3</v>
          </cell>
          <cell r="P1" t="str">
            <v>Level 3 Desc</v>
          </cell>
          <cell r="Q1" t="str">
            <v>Year</v>
          </cell>
          <cell r="R1" t="str">
            <v>Vendor Code</v>
          </cell>
          <cell r="S1" t="str">
            <v>Vendor Name</v>
          </cell>
          <cell r="T1" t="str">
            <v>Order Type</v>
          </cell>
        </row>
        <row r="2">
          <cell r="C2" t="str">
            <v>T22C850000711</v>
          </cell>
          <cell r="D2" t="str">
            <v>A22C850001103</v>
          </cell>
          <cell r="E2">
            <v>0</v>
          </cell>
          <cell r="F2">
            <v>2000000</v>
          </cell>
          <cell r="G2" t="str">
            <v>Mobile Phone</v>
          </cell>
          <cell r="H2" t="str">
            <v>[2]TAB/M.HASBUN/ONLINE_MEDIA_ADVERTIZING_Q2_22</v>
          </cell>
          <cell r="I2" t="str">
            <v>Closed</v>
          </cell>
          <cell r="J2" t="str">
            <v>m.hasbun</v>
          </cell>
          <cell r="K2">
            <v>44656</v>
          </cell>
          <cell r="L2">
            <v>44804</v>
          </cell>
          <cell r="M2" t="str">
            <v>G1</v>
          </cell>
          <cell r="N2" t="str">
            <v>DIGITAL MEDIA</v>
          </cell>
          <cell r="O2" t="str">
            <v>A240</v>
          </cell>
          <cell r="P2" t="str">
            <v>SEARCH</v>
          </cell>
          <cell r="Q2" t="str">
            <v>2024</v>
          </cell>
          <cell r="R2" t="str">
            <v>FZX3JE</v>
          </cell>
          <cell r="S2" t="str">
            <v>Cencosud Retail S.A.</v>
          </cell>
          <cell r="T2" t="str">
            <v/>
          </cell>
        </row>
        <row r="3">
          <cell r="C3" t="str">
            <v>T22C850001883</v>
          </cell>
          <cell r="D3" t="str">
            <v>A22C850003016</v>
          </cell>
          <cell r="E3">
            <v>0</v>
          </cell>
          <cell r="F3">
            <v>2500000</v>
          </cell>
          <cell r="G3" t="str">
            <v>Mobile Phone</v>
          </cell>
          <cell r="H3" t="str">
            <v>[2]PLAN PROPOSAL OCTOBER Q4 2022 TAB RETAIL COMKTG</v>
          </cell>
          <cell r="I3" t="str">
            <v>Closed</v>
          </cell>
          <cell r="J3" t="str">
            <v>zapata.e</v>
          </cell>
          <cell r="K3">
            <v>44845</v>
          </cell>
          <cell r="L3">
            <v>44865</v>
          </cell>
          <cell r="M3" t="str">
            <v>G1</v>
          </cell>
          <cell r="N3" t="str">
            <v>DIGITAL MEDIA</v>
          </cell>
          <cell r="O3" t="str">
            <v>A240</v>
          </cell>
          <cell r="P3" t="str">
            <v>SEARCH</v>
          </cell>
          <cell r="Q3" t="str">
            <v>2024</v>
          </cell>
          <cell r="R3" t="str">
            <v>FZX3JE</v>
          </cell>
          <cell r="S3" t="str">
            <v>Cencosud Retail S.A.</v>
          </cell>
          <cell r="T3" t="str">
            <v/>
          </cell>
        </row>
        <row r="4">
          <cell r="C4" t="str">
            <v>T22C850001883</v>
          </cell>
          <cell r="D4" t="str">
            <v>A22C850003016</v>
          </cell>
          <cell r="E4">
            <v>0</v>
          </cell>
          <cell r="F4">
            <v>3500000</v>
          </cell>
          <cell r="G4" t="str">
            <v>Mobile Phone</v>
          </cell>
          <cell r="H4" t="str">
            <v>[2]PLAN PROPOSAL OCTOBER Q4 2022 TAB RETAIL COMKTG</v>
          </cell>
          <cell r="I4" t="str">
            <v>Closed</v>
          </cell>
          <cell r="J4" t="str">
            <v>zapata.e</v>
          </cell>
          <cell r="K4">
            <v>44845</v>
          </cell>
          <cell r="L4">
            <v>44865</v>
          </cell>
          <cell r="M4" t="str">
            <v>G1</v>
          </cell>
          <cell r="N4" t="str">
            <v>DIGITAL MEDIA</v>
          </cell>
          <cell r="O4" t="str">
            <v>A230</v>
          </cell>
          <cell r="P4" t="str">
            <v>SOCIAL ADS</v>
          </cell>
          <cell r="Q4" t="str">
            <v>2024</v>
          </cell>
          <cell r="R4" t="str">
            <v>FZX3JE</v>
          </cell>
          <cell r="S4" t="str">
            <v>Cencosud Retail S.A.</v>
          </cell>
          <cell r="T4" t="str">
            <v/>
          </cell>
        </row>
        <row r="5">
          <cell r="C5" t="str">
            <v>T23C850000385</v>
          </cell>
          <cell r="D5" t="str">
            <v>A23C850000635</v>
          </cell>
          <cell r="E5">
            <v>0</v>
          </cell>
          <cell r="F5">
            <v>2200000</v>
          </cell>
          <cell r="G5" t="str">
            <v>Mobile Phone</v>
          </cell>
          <cell r="H5" t="str">
            <v>[2]HHP/M.HASBUN/RETAIL_MEDIA_ADVERTIZING_DIRECT_MKT_MARCH_23</v>
          </cell>
          <cell r="I5" t="str">
            <v>Closed</v>
          </cell>
          <cell r="J5" t="str">
            <v>m.hasbun</v>
          </cell>
          <cell r="K5">
            <v>44986</v>
          </cell>
          <cell r="L5">
            <v>45077</v>
          </cell>
          <cell r="M5" t="str">
            <v>G1</v>
          </cell>
          <cell r="N5" t="str">
            <v>DIGITAL MEDIA</v>
          </cell>
          <cell r="O5" t="str">
            <v>A250</v>
          </cell>
          <cell r="P5" t="str">
            <v>DISPLAY</v>
          </cell>
          <cell r="Q5" t="str">
            <v>2024</v>
          </cell>
          <cell r="R5" t="str">
            <v>FZX3JE</v>
          </cell>
          <cell r="S5" t="str">
            <v>Cencosud Retail S.A.</v>
          </cell>
          <cell r="T5" t="str">
            <v/>
          </cell>
        </row>
        <row r="6">
          <cell r="C6" t="str">
            <v>T23C850000385</v>
          </cell>
          <cell r="D6" t="str">
            <v>A23C850000635</v>
          </cell>
          <cell r="E6">
            <v>-900000</v>
          </cell>
          <cell r="F6">
            <v>0</v>
          </cell>
          <cell r="G6" t="str">
            <v>Mobile Phone</v>
          </cell>
          <cell r="H6" t="str">
            <v>[2]HHP/M.HASBUN/RETAIL_MEDIA_ADVERTIZING_DIRECT_MKT_MARCH_23</v>
          </cell>
          <cell r="I6" t="str">
            <v>Closed</v>
          </cell>
          <cell r="J6" t="str">
            <v>m.hasbun</v>
          </cell>
          <cell r="K6">
            <v>44986</v>
          </cell>
          <cell r="L6">
            <v>45077</v>
          </cell>
          <cell r="M6" t="str">
            <v>G1</v>
          </cell>
          <cell r="N6" t="str">
            <v>DIGITAL MEDIA</v>
          </cell>
          <cell r="O6" t="str">
            <v>A250</v>
          </cell>
          <cell r="P6" t="str">
            <v>DISPLAY</v>
          </cell>
          <cell r="Q6" t="str">
            <v>2024</v>
          </cell>
          <cell r="R6" t="str">
            <v>FZX3JE</v>
          </cell>
          <cell r="S6" t="str">
            <v>Cencosud Retail S.A.</v>
          </cell>
          <cell r="T6" t="str">
            <v/>
          </cell>
        </row>
        <row r="7">
          <cell r="C7" t="str">
            <v>T23C850000397</v>
          </cell>
          <cell r="D7" t="str">
            <v>A23C850000649</v>
          </cell>
          <cell r="E7">
            <v>0</v>
          </cell>
          <cell r="F7">
            <v>500000</v>
          </cell>
          <cell r="G7" t="str">
            <v>Mobile Phone</v>
          </cell>
          <cell r="H7" t="str">
            <v>[1]PLAN PROPOSAL MARCH 2023 WEARABLE RETAIL COMKTG</v>
          </cell>
          <cell r="I7" t="str">
            <v>Closed</v>
          </cell>
          <cell r="J7" t="str">
            <v>zapata.e</v>
          </cell>
          <cell r="K7">
            <v>44991</v>
          </cell>
          <cell r="L7">
            <v>45077</v>
          </cell>
          <cell r="M7" t="str">
            <v>G1</v>
          </cell>
          <cell r="N7" t="str">
            <v>DIGITAL MEDIA</v>
          </cell>
          <cell r="O7" t="str">
            <v>A250</v>
          </cell>
          <cell r="P7" t="str">
            <v>DISPLAY</v>
          </cell>
          <cell r="Q7" t="str">
            <v>2024</v>
          </cell>
          <cell r="R7" t="str">
            <v>FZX3JE</v>
          </cell>
          <cell r="S7" t="str">
            <v>Cencosud Retail S.A.</v>
          </cell>
          <cell r="T7" t="str">
            <v/>
          </cell>
        </row>
        <row r="8">
          <cell r="C8" t="str">
            <v>T23C850000397</v>
          </cell>
          <cell r="D8" t="str">
            <v>A23C850000649</v>
          </cell>
          <cell r="E8">
            <v>0</v>
          </cell>
          <cell r="F8">
            <v>2000000</v>
          </cell>
          <cell r="G8" t="str">
            <v>Mobile Phone</v>
          </cell>
          <cell r="H8" t="str">
            <v>[1]PLAN PROPOSAL MARCH 2023 WEARABLE RETAIL COMKTG</v>
          </cell>
          <cell r="I8" t="str">
            <v>Closed</v>
          </cell>
          <cell r="J8" t="str">
            <v>zapata.e</v>
          </cell>
          <cell r="K8">
            <v>44991</v>
          </cell>
          <cell r="L8">
            <v>45077</v>
          </cell>
          <cell r="M8" t="str">
            <v>G1</v>
          </cell>
          <cell r="N8" t="str">
            <v>DIGITAL MEDIA</v>
          </cell>
          <cell r="O8" t="str">
            <v>A240</v>
          </cell>
          <cell r="P8" t="str">
            <v>SEARCH</v>
          </cell>
          <cell r="Q8" t="str">
            <v>2024</v>
          </cell>
          <cell r="R8" t="str">
            <v>FZX3JE</v>
          </cell>
          <cell r="S8" t="str">
            <v>Cencosud Retail S.A.</v>
          </cell>
          <cell r="T8" t="str">
            <v/>
          </cell>
        </row>
        <row r="9">
          <cell r="C9" t="str">
            <v>T23C850000400</v>
          </cell>
          <cell r="D9" t="str">
            <v>A23C850000651</v>
          </cell>
          <cell r="E9">
            <v>0</v>
          </cell>
          <cell r="F9">
            <v>1000000</v>
          </cell>
          <cell r="G9" t="str">
            <v>Mobile Phone</v>
          </cell>
          <cell r="H9" t="str">
            <v>[2]PLAN PROPOSAL MARCH2023 ACCESSORY RETAIL COMKTG</v>
          </cell>
          <cell r="I9" t="str">
            <v>Closed</v>
          </cell>
          <cell r="J9" t="str">
            <v>zapata.e</v>
          </cell>
          <cell r="K9">
            <v>44991</v>
          </cell>
          <cell r="L9">
            <v>45077</v>
          </cell>
          <cell r="M9" t="str">
            <v>G1</v>
          </cell>
          <cell r="N9" t="str">
            <v>DIGITAL MEDIA</v>
          </cell>
          <cell r="O9" t="str">
            <v>A240</v>
          </cell>
          <cell r="P9" t="str">
            <v>SEARCH</v>
          </cell>
          <cell r="Q9" t="str">
            <v>2024</v>
          </cell>
          <cell r="R9" t="str">
            <v>FZX3JE</v>
          </cell>
          <cell r="S9" t="str">
            <v>Cencosud Retail S.A.</v>
          </cell>
          <cell r="T9" t="str">
            <v/>
          </cell>
        </row>
        <row r="10">
          <cell r="C10" t="str">
            <v>T23C850000519</v>
          </cell>
          <cell r="D10" t="str">
            <v>A23C850000767</v>
          </cell>
          <cell r="E10">
            <v>-1000000</v>
          </cell>
          <cell r="F10">
            <v>0</v>
          </cell>
          <cell r="G10" t="str">
            <v>Mobile Phone</v>
          </cell>
          <cell r="H10" t="str">
            <v>[2]2DN PLAN PROPOSAL MARCH 2023 ACCESSORY RETAIL COMKTG</v>
          </cell>
          <cell r="I10" t="str">
            <v>Closed</v>
          </cell>
          <cell r="J10" t="str">
            <v>zapata.e</v>
          </cell>
          <cell r="K10">
            <v>45012</v>
          </cell>
          <cell r="L10">
            <v>45104</v>
          </cell>
          <cell r="M10" t="str">
            <v>G1</v>
          </cell>
          <cell r="N10" t="str">
            <v>DIGITAL MEDIA</v>
          </cell>
          <cell r="O10" t="str">
            <v>A240</v>
          </cell>
          <cell r="P10" t="str">
            <v>SEARCH</v>
          </cell>
          <cell r="Q10" t="str">
            <v>2024</v>
          </cell>
          <cell r="R10" t="str">
            <v>FZX3JE</v>
          </cell>
          <cell r="S10" t="str">
            <v>Cencosud Retail S.A.</v>
          </cell>
          <cell r="T10" t="str">
            <v/>
          </cell>
        </row>
        <row r="11">
          <cell r="C11" t="str">
            <v>T23C850000659</v>
          </cell>
          <cell r="D11" t="str">
            <v>A23C850000923</v>
          </cell>
          <cell r="E11">
            <v>-60000</v>
          </cell>
          <cell r="F11">
            <v>0</v>
          </cell>
          <cell r="G11" t="str">
            <v>Mobile Phone</v>
          </cell>
          <cell r="H11" t="str">
            <v>[2]PLAN PROPOSAL APRIL 2023 WEARABLE RETAIL Q2_COMKTG</v>
          </cell>
          <cell r="I11" t="str">
            <v>Closed</v>
          </cell>
          <cell r="J11" t="str">
            <v>zapata.e</v>
          </cell>
          <cell r="K11">
            <v>45027</v>
          </cell>
          <cell r="L11">
            <v>45137</v>
          </cell>
          <cell r="M11" t="str">
            <v>G1</v>
          </cell>
          <cell r="N11" t="str">
            <v>DIGITAL MEDIA</v>
          </cell>
          <cell r="O11" t="str">
            <v>A240</v>
          </cell>
          <cell r="P11" t="str">
            <v>SEARCH</v>
          </cell>
          <cell r="Q11" t="str">
            <v>2024</v>
          </cell>
          <cell r="R11" t="str">
            <v>FZX3JE</v>
          </cell>
          <cell r="S11" t="str">
            <v>Cencosud Retail S.A.</v>
          </cell>
          <cell r="T11" t="str">
            <v/>
          </cell>
        </row>
        <row r="12">
          <cell r="C12" t="str">
            <v>T23C850000664</v>
          </cell>
          <cell r="D12" t="str">
            <v>A23C850000925</v>
          </cell>
          <cell r="E12">
            <v>-40000</v>
          </cell>
          <cell r="F12">
            <v>0</v>
          </cell>
          <cell r="G12" t="str">
            <v>Mobile Phone</v>
          </cell>
          <cell r="H12" t="str">
            <v>[2]PLAN PROPOSAL APRIL 2023 TABLET RETAIL Q2_COMKTG</v>
          </cell>
          <cell r="I12" t="str">
            <v>Closed</v>
          </cell>
          <cell r="J12" t="str">
            <v>zapata.e</v>
          </cell>
          <cell r="K12">
            <v>45027</v>
          </cell>
          <cell r="L12">
            <v>45137</v>
          </cell>
          <cell r="M12" t="str">
            <v>G1</v>
          </cell>
          <cell r="N12" t="str">
            <v>DIGITAL MEDIA</v>
          </cell>
          <cell r="O12" t="str">
            <v>A240</v>
          </cell>
          <cell r="P12" t="str">
            <v>SEARCH</v>
          </cell>
          <cell r="Q12" t="str">
            <v>2024</v>
          </cell>
          <cell r="R12" t="str">
            <v>FZX3JE</v>
          </cell>
          <cell r="S12" t="str">
            <v>Cencosud Retail S.A.</v>
          </cell>
          <cell r="T12" t="str">
            <v/>
          </cell>
        </row>
        <row r="13">
          <cell r="C13" t="str">
            <v>T23C850001074</v>
          </cell>
          <cell r="D13" t="str">
            <v>A23C850001625</v>
          </cell>
          <cell r="E13">
            <v>0</v>
          </cell>
          <cell r="F13">
            <v>3000000</v>
          </cell>
          <cell r="G13" t="str">
            <v>Mobile Phone</v>
          </cell>
          <cell r="H13" t="str">
            <v>[2]SMARTPHONES/ONLINE/JULY_RETAIL.COM_23</v>
          </cell>
          <cell r="I13" t="str">
            <v>Closed</v>
          </cell>
          <cell r="J13" t="str">
            <v>sjara.mella</v>
          </cell>
          <cell r="K13">
            <v>45128</v>
          </cell>
          <cell r="L13">
            <v>45199</v>
          </cell>
          <cell r="M13" t="str">
            <v>G1</v>
          </cell>
          <cell r="N13" t="str">
            <v>DIGITAL MEDIA</v>
          </cell>
          <cell r="O13" t="str">
            <v>A240</v>
          </cell>
          <cell r="P13" t="str">
            <v>SEARCH</v>
          </cell>
          <cell r="Q13" t="str">
            <v>2024</v>
          </cell>
          <cell r="R13" t="str">
            <v>FZX3JE</v>
          </cell>
          <cell r="S13" t="str">
            <v>Cencosud Retail S.A.</v>
          </cell>
          <cell r="T13" t="str">
            <v/>
          </cell>
        </row>
        <row r="14">
          <cell r="C14" t="str">
            <v>T23C850001074</v>
          </cell>
          <cell r="D14" t="str">
            <v>A23C850001625</v>
          </cell>
          <cell r="E14">
            <v>0</v>
          </cell>
          <cell r="F14">
            <v>2000000</v>
          </cell>
          <cell r="G14" t="str">
            <v>Mobile Phone</v>
          </cell>
          <cell r="H14" t="str">
            <v>[2]SMARTPHONES/ONLINE/JULY_RETAIL.COM_23</v>
          </cell>
          <cell r="I14" t="str">
            <v>Closed</v>
          </cell>
          <cell r="J14" t="str">
            <v>sjara.mella</v>
          </cell>
          <cell r="K14">
            <v>45128</v>
          </cell>
          <cell r="L14">
            <v>45199</v>
          </cell>
          <cell r="M14" t="str">
            <v>G1</v>
          </cell>
          <cell r="N14" t="str">
            <v>DIGITAL MEDIA</v>
          </cell>
          <cell r="O14" t="str">
            <v>A230</v>
          </cell>
          <cell r="P14" t="str">
            <v>SOCIAL ADS</v>
          </cell>
          <cell r="Q14" t="str">
            <v>2024</v>
          </cell>
          <cell r="R14" t="str">
            <v>FZX3JE</v>
          </cell>
          <cell r="S14" t="str">
            <v>Cencosud Retail S.A.</v>
          </cell>
          <cell r="T14" t="str">
            <v/>
          </cell>
        </row>
        <row r="15">
          <cell r="C15" t="str">
            <v>T23C850001105</v>
          </cell>
          <cell r="D15" t="str">
            <v>A23C850001692</v>
          </cell>
          <cell r="E15">
            <v>0</v>
          </cell>
          <cell r="F15">
            <v>5000000</v>
          </cell>
          <cell r="G15" t="str">
            <v>Mobile Phone</v>
          </cell>
          <cell r="H15" t="str">
            <v>[2]B5Q5 RETAIL HHP AUGUST CAMPAIGN</v>
          </cell>
          <cell r="I15" t="str">
            <v>Closed</v>
          </cell>
          <cell r="J15" t="str">
            <v>m.aguila</v>
          </cell>
          <cell r="K15">
            <v>45139</v>
          </cell>
          <cell r="L15">
            <v>45230</v>
          </cell>
          <cell r="M15" t="str">
            <v>G1</v>
          </cell>
          <cell r="N15" t="str">
            <v>DIGITAL MEDIA</v>
          </cell>
          <cell r="O15" t="str">
            <v>A250</v>
          </cell>
          <cell r="P15" t="str">
            <v>DISPLAY</v>
          </cell>
          <cell r="Q15" t="str">
            <v>2024</v>
          </cell>
          <cell r="R15" t="str">
            <v>FZX3JE</v>
          </cell>
          <cell r="S15" t="str">
            <v>Cencosud Retail S.A.</v>
          </cell>
          <cell r="T15" t="str">
            <v/>
          </cell>
        </row>
        <row r="16">
          <cell r="C16" t="str">
            <v>T23C850001105</v>
          </cell>
          <cell r="D16" t="str">
            <v>A23C850001692</v>
          </cell>
          <cell r="E16">
            <v>0</v>
          </cell>
          <cell r="F16">
            <v>2000000</v>
          </cell>
          <cell r="G16" t="str">
            <v>Mobile Phone</v>
          </cell>
          <cell r="H16" t="str">
            <v>[2]B5Q5 RETAIL HHP AUGUST CAMPAIGN</v>
          </cell>
          <cell r="I16" t="str">
            <v>Closed</v>
          </cell>
          <cell r="J16" t="str">
            <v>m.aguila</v>
          </cell>
          <cell r="K16">
            <v>45139</v>
          </cell>
          <cell r="L16">
            <v>45230</v>
          </cell>
          <cell r="M16" t="str">
            <v>G1</v>
          </cell>
          <cell r="N16" t="str">
            <v>DIGITAL MEDIA</v>
          </cell>
          <cell r="O16" t="str">
            <v>A230</v>
          </cell>
          <cell r="P16" t="str">
            <v>SOCIAL ADS</v>
          </cell>
          <cell r="Q16" t="str">
            <v>2024</v>
          </cell>
          <cell r="R16" t="str">
            <v>FZX3JE</v>
          </cell>
          <cell r="S16" t="str">
            <v>Cencosud Retail S.A.</v>
          </cell>
          <cell r="T16" t="str">
            <v/>
          </cell>
        </row>
        <row r="17">
          <cell r="C17" t="str">
            <v>T23C850001105</v>
          </cell>
          <cell r="D17" t="str">
            <v>A23C850001692</v>
          </cell>
          <cell r="E17">
            <v>0</v>
          </cell>
          <cell r="F17">
            <v>2000000</v>
          </cell>
          <cell r="G17" t="str">
            <v>Mobile Phone</v>
          </cell>
          <cell r="H17" t="str">
            <v>[2]B5Q5 RETAIL HHP AUGUST CAMPAIGN</v>
          </cell>
          <cell r="I17" t="str">
            <v>Closed</v>
          </cell>
          <cell r="J17" t="str">
            <v>m.aguila</v>
          </cell>
          <cell r="K17">
            <v>45139</v>
          </cell>
          <cell r="L17">
            <v>45230</v>
          </cell>
          <cell r="M17" t="str">
            <v>G1</v>
          </cell>
          <cell r="N17" t="str">
            <v>TRADITIONAL MEDIA</v>
          </cell>
          <cell r="O17" t="str">
            <v>A130</v>
          </cell>
          <cell r="P17" t="str">
            <v>ADS NEWSPAPER</v>
          </cell>
          <cell r="Q17" t="str">
            <v>2024</v>
          </cell>
          <cell r="R17" t="str">
            <v>FZX3JE</v>
          </cell>
          <cell r="S17" t="str">
            <v>Cencosud Retail S.A.</v>
          </cell>
          <cell r="T17" t="str">
            <v/>
          </cell>
        </row>
        <row r="18">
          <cell r="C18" t="str">
            <v>T23C850001105</v>
          </cell>
          <cell r="D18" t="str">
            <v>A23C850001692</v>
          </cell>
          <cell r="E18">
            <v>0</v>
          </cell>
          <cell r="F18">
            <v>10000000</v>
          </cell>
          <cell r="G18" t="str">
            <v>Mobile Phone</v>
          </cell>
          <cell r="H18" t="str">
            <v>[2]B5Q5 RETAIL HHP AUGUST CAMPAIGN</v>
          </cell>
          <cell r="I18" t="str">
            <v>Closed</v>
          </cell>
          <cell r="J18" t="str">
            <v>m.aguila</v>
          </cell>
          <cell r="K18">
            <v>45139</v>
          </cell>
          <cell r="L18">
            <v>45230</v>
          </cell>
          <cell r="M18" t="str">
            <v>G1</v>
          </cell>
          <cell r="N18" t="str">
            <v>TRADITIONAL MEDIA</v>
          </cell>
          <cell r="O18" t="str">
            <v>A110</v>
          </cell>
          <cell r="P18" t="str">
            <v>ADS TV</v>
          </cell>
          <cell r="Q18" t="str">
            <v>2024</v>
          </cell>
          <cell r="R18" t="str">
            <v>FZX3JE</v>
          </cell>
          <cell r="S18" t="str">
            <v>Cencosud Retail S.A.</v>
          </cell>
          <cell r="T18" t="str">
            <v/>
          </cell>
        </row>
        <row r="19">
          <cell r="C19" t="str">
            <v>T23C850001208</v>
          </cell>
          <cell r="D19" t="str">
            <v>A23C850001836</v>
          </cell>
          <cell r="E19">
            <v>0</v>
          </cell>
          <cell r="F19">
            <v>28000000</v>
          </cell>
          <cell r="G19" t="str">
            <v>Mobile Phone</v>
          </cell>
          <cell r="H19" t="str">
            <v>[1]PUMI APPROVED ATTACHED/HHP /V.GONZALEZG/ B5Q5 CENCOSUD ACTIVATION</v>
          </cell>
          <cell r="I19" t="str">
            <v>Closed</v>
          </cell>
          <cell r="J19" t="str">
            <v>y.malave</v>
          </cell>
          <cell r="K19">
            <v>45145</v>
          </cell>
          <cell r="L19">
            <v>45245</v>
          </cell>
          <cell r="M19" t="str">
            <v>G1</v>
          </cell>
          <cell r="N19" t="str">
            <v>RETAIL</v>
          </cell>
          <cell r="O19" t="str">
            <v>B120</v>
          </cell>
          <cell r="P19" t="str">
            <v>SHELF MERCHANDISING</v>
          </cell>
          <cell r="Q19" t="str">
            <v>2024</v>
          </cell>
          <cell r="R19" t="str">
            <v>FZX3JE</v>
          </cell>
          <cell r="S19" t="str">
            <v>Cencosud Retail S.A.</v>
          </cell>
          <cell r="T19" t="str">
            <v/>
          </cell>
        </row>
        <row r="20">
          <cell r="C20" t="str">
            <v>T23C850001210</v>
          </cell>
          <cell r="D20" t="str">
            <v>A23C850001827</v>
          </cell>
          <cell r="E20">
            <v>0</v>
          </cell>
          <cell r="F20">
            <v>2000000</v>
          </cell>
          <cell r="G20" t="str">
            <v>Mobile Phone</v>
          </cell>
          <cell r="H20" t="str">
            <v>[2]ALWAYS ON HHP RETAIL.COM CAMPAIGN AUGUST</v>
          </cell>
          <cell r="I20" t="str">
            <v>Closed</v>
          </cell>
          <cell r="J20" t="str">
            <v>sjara.mella</v>
          </cell>
          <cell r="K20">
            <v>45146</v>
          </cell>
          <cell r="L20">
            <v>45230</v>
          </cell>
          <cell r="M20" t="str">
            <v>G1</v>
          </cell>
          <cell r="N20" t="str">
            <v>DIGITAL MEDIA</v>
          </cell>
          <cell r="O20" t="str">
            <v>A250</v>
          </cell>
          <cell r="P20" t="str">
            <v>DISPLAY</v>
          </cell>
          <cell r="Q20" t="str">
            <v>2024</v>
          </cell>
          <cell r="R20" t="str">
            <v>FZX3JE</v>
          </cell>
          <cell r="S20" t="str">
            <v>Cencosud Retail S.A.</v>
          </cell>
          <cell r="T20" t="str">
            <v/>
          </cell>
        </row>
        <row r="21">
          <cell r="C21" t="str">
            <v>T23C850001210</v>
          </cell>
          <cell r="D21" t="str">
            <v>A23C850001827</v>
          </cell>
          <cell r="E21">
            <v>0</v>
          </cell>
          <cell r="F21">
            <v>7000000</v>
          </cell>
          <cell r="G21" t="str">
            <v>Mobile Phone</v>
          </cell>
          <cell r="H21" t="str">
            <v>[2]ALWAYS ON HHP RETAIL.COM CAMPAIGN AUGUST</v>
          </cell>
          <cell r="I21" t="str">
            <v>Closed</v>
          </cell>
          <cell r="J21" t="str">
            <v>sjara.mella</v>
          </cell>
          <cell r="K21">
            <v>45146</v>
          </cell>
          <cell r="L21">
            <v>45230</v>
          </cell>
          <cell r="M21" t="str">
            <v>G1</v>
          </cell>
          <cell r="N21" t="str">
            <v>DIGITAL MEDIA</v>
          </cell>
          <cell r="O21" t="str">
            <v>A240</v>
          </cell>
          <cell r="P21" t="str">
            <v>SEARCH</v>
          </cell>
          <cell r="Q21" t="str">
            <v>2024</v>
          </cell>
          <cell r="R21" t="str">
            <v>FZX3JE</v>
          </cell>
          <cell r="S21" t="str">
            <v>Cencosud Retail S.A.</v>
          </cell>
          <cell r="T21" t="str">
            <v/>
          </cell>
        </row>
        <row r="22">
          <cell r="C22" t="str">
            <v>T23C850001210</v>
          </cell>
          <cell r="D22" t="str">
            <v>A23C850001827</v>
          </cell>
          <cell r="E22">
            <v>0</v>
          </cell>
          <cell r="F22">
            <v>6000000</v>
          </cell>
          <cell r="G22" t="str">
            <v>Mobile Phone</v>
          </cell>
          <cell r="H22" t="str">
            <v>[2]ALWAYS ON HHP RETAIL.COM CAMPAIGN AUGUST</v>
          </cell>
          <cell r="I22" t="str">
            <v>Closed</v>
          </cell>
          <cell r="J22" t="str">
            <v>sjara.mella</v>
          </cell>
          <cell r="K22">
            <v>45146</v>
          </cell>
          <cell r="L22">
            <v>45230</v>
          </cell>
          <cell r="M22" t="str">
            <v>G1</v>
          </cell>
          <cell r="N22" t="str">
            <v>DIGITAL MEDIA</v>
          </cell>
          <cell r="O22" t="str">
            <v>A230</v>
          </cell>
          <cell r="P22" t="str">
            <v>SOCIAL ADS</v>
          </cell>
          <cell r="Q22" t="str">
            <v>2024</v>
          </cell>
          <cell r="R22" t="str">
            <v>FZX3JE</v>
          </cell>
          <cell r="S22" t="str">
            <v>Cencosud Retail S.A.</v>
          </cell>
          <cell r="T22" t="str">
            <v/>
          </cell>
        </row>
        <row r="23">
          <cell r="C23" t="str">
            <v>T23C850001244</v>
          </cell>
          <cell r="D23" t="str">
            <v>A23C850001855</v>
          </cell>
          <cell r="E23">
            <v>0</v>
          </cell>
          <cell r="F23">
            <v>24816843</v>
          </cell>
          <cell r="G23" t="str">
            <v>Mobile Phone</v>
          </cell>
          <cell r="H23" t="str">
            <v>[1]PUMI APPROVED/HHP/V.GONZALEZG/PARIS-PURCHASE RDU B5Q5</v>
          </cell>
          <cell r="I23" t="str">
            <v>Closed</v>
          </cell>
          <cell r="J23" t="str">
            <v>y.malave</v>
          </cell>
          <cell r="K23">
            <v>45148</v>
          </cell>
          <cell r="L23">
            <v>45245</v>
          </cell>
          <cell r="M23" t="str">
            <v>G1</v>
          </cell>
          <cell r="N23" t="str">
            <v>RETAIL</v>
          </cell>
          <cell r="O23" t="str">
            <v>B120</v>
          </cell>
          <cell r="P23" t="str">
            <v>SHELF MERCHANDISING</v>
          </cell>
          <cell r="Q23" t="str">
            <v>2024</v>
          </cell>
          <cell r="R23" t="str">
            <v>FZX3JE</v>
          </cell>
          <cell r="S23" t="str">
            <v>Cencosud Retail S.A.</v>
          </cell>
          <cell r="T23" t="str">
            <v/>
          </cell>
        </row>
        <row r="24">
          <cell r="C24" t="str">
            <v>T23C850001338</v>
          </cell>
          <cell r="D24" t="str">
            <v>A23C850001961</v>
          </cell>
          <cell r="E24">
            <v>0</v>
          </cell>
          <cell r="F24">
            <v>8000000</v>
          </cell>
          <cell r="G24" t="str">
            <v>Mobile Phone</v>
          </cell>
          <cell r="H24" t="str">
            <v>[2]B5Q5 RETAIL HHP SEPTEMBER CAMPAIGN</v>
          </cell>
          <cell r="I24" t="str">
            <v>Closed</v>
          </cell>
          <cell r="J24" t="str">
            <v>sjara.mella</v>
          </cell>
          <cell r="K24">
            <v>45170</v>
          </cell>
          <cell r="L24">
            <v>45230</v>
          </cell>
          <cell r="M24" t="str">
            <v>G1</v>
          </cell>
          <cell r="N24" t="str">
            <v>DIGITAL MEDIA</v>
          </cell>
          <cell r="O24" t="str">
            <v>A250</v>
          </cell>
          <cell r="P24" t="str">
            <v>DISPLAY</v>
          </cell>
          <cell r="Q24" t="str">
            <v>2024</v>
          </cell>
          <cell r="R24" t="str">
            <v>FZX3JE</v>
          </cell>
          <cell r="S24" t="str">
            <v>Cencosud Retail S.A.</v>
          </cell>
          <cell r="T24" t="str">
            <v/>
          </cell>
        </row>
        <row r="25">
          <cell r="C25" t="str">
            <v>T23C850001338</v>
          </cell>
          <cell r="D25" t="str">
            <v>A23C850001961</v>
          </cell>
          <cell r="E25">
            <v>0</v>
          </cell>
          <cell r="F25">
            <v>3500000</v>
          </cell>
          <cell r="G25" t="str">
            <v>Mobile Phone</v>
          </cell>
          <cell r="H25" t="str">
            <v>[2]B5Q5 RETAIL HHP SEPTEMBER CAMPAIGN</v>
          </cell>
          <cell r="I25" t="str">
            <v>Closed</v>
          </cell>
          <cell r="J25" t="str">
            <v>sjara.mella</v>
          </cell>
          <cell r="K25">
            <v>45170</v>
          </cell>
          <cell r="L25">
            <v>45230</v>
          </cell>
          <cell r="M25" t="str">
            <v>G1</v>
          </cell>
          <cell r="N25" t="str">
            <v>DIGITAL MEDIA</v>
          </cell>
          <cell r="O25" t="str">
            <v>A240</v>
          </cell>
          <cell r="P25" t="str">
            <v>SEARCH</v>
          </cell>
          <cell r="Q25" t="str">
            <v>2024</v>
          </cell>
          <cell r="R25" t="str">
            <v>FZX3JE</v>
          </cell>
          <cell r="S25" t="str">
            <v>Cencosud Retail S.A.</v>
          </cell>
          <cell r="T25" t="str">
            <v/>
          </cell>
        </row>
        <row r="26">
          <cell r="C26" t="str">
            <v>T23C850001338</v>
          </cell>
          <cell r="D26" t="str">
            <v>A23C850001961</v>
          </cell>
          <cell r="E26">
            <v>0</v>
          </cell>
          <cell r="F26">
            <v>3500000</v>
          </cell>
          <cell r="G26" t="str">
            <v>Mobile Phone</v>
          </cell>
          <cell r="H26" t="str">
            <v>[2]B5Q5 RETAIL HHP SEPTEMBER CAMPAIGN</v>
          </cell>
          <cell r="I26" t="str">
            <v>Closed</v>
          </cell>
          <cell r="J26" t="str">
            <v>sjara.mella</v>
          </cell>
          <cell r="K26">
            <v>45170</v>
          </cell>
          <cell r="L26">
            <v>45230</v>
          </cell>
          <cell r="M26" t="str">
            <v>G1</v>
          </cell>
          <cell r="N26" t="str">
            <v>DIGITAL MEDIA</v>
          </cell>
          <cell r="O26" t="str">
            <v>A230</v>
          </cell>
          <cell r="P26" t="str">
            <v>SOCIAL ADS</v>
          </cell>
          <cell r="Q26" t="str">
            <v>2024</v>
          </cell>
          <cell r="R26" t="str">
            <v>FZX3JE</v>
          </cell>
          <cell r="S26" t="str">
            <v>Cencosud Retail S.A.</v>
          </cell>
          <cell r="T26" t="str">
            <v/>
          </cell>
        </row>
        <row r="27">
          <cell r="C27" t="str">
            <v>T23C850001338</v>
          </cell>
          <cell r="D27" t="str">
            <v>A23C850001961</v>
          </cell>
          <cell r="E27">
            <v>0</v>
          </cell>
          <cell r="F27">
            <v>5000000</v>
          </cell>
          <cell r="G27" t="str">
            <v>Mobile Phone</v>
          </cell>
          <cell r="H27" t="str">
            <v>[2]B5Q5 RETAIL HHP SEPTEMBER CAMPAIGN</v>
          </cell>
          <cell r="I27" t="str">
            <v>Closed</v>
          </cell>
          <cell r="J27" t="str">
            <v>sjara.mella</v>
          </cell>
          <cell r="K27">
            <v>45170</v>
          </cell>
          <cell r="L27">
            <v>45230</v>
          </cell>
          <cell r="M27" t="str">
            <v>G1</v>
          </cell>
          <cell r="N27" t="str">
            <v>TRADITIONAL MEDIA</v>
          </cell>
          <cell r="O27" t="str">
            <v>A130</v>
          </cell>
          <cell r="P27" t="str">
            <v>ADS NEWSPAPER</v>
          </cell>
          <cell r="Q27" t="str">
            <v>2024</v>
          </cell>
          <cell r="R27" t="str">
            <v>FZX3JE</v>
          </cell>
          <cell r="S27" t="str">
            <v>Cencosud Retail S.A.</v>
          </cell>
          <cell r="T27" t="str">
            <v/>
          </cell>
        </row>
        <row r="28">
          <cell r="C28" t="str">
            <v>T23C850001412</v>
          </cell>
          <cell r="D28" t="str">
            <v>A23C850002080</v>
          </cell>
          <cell r="E28">
            <v>0</v>
          </cell>
          <cell r="F28">
            <v>2000000</v>
          </cell>
          <cell r="G28" t="str">
            <v>Mobile Phone</v>
          </cell>
          <cell r="H28" t="str">
            <v>[2]ALWAYS ON HHP RETAIL.COM CAMPAIGN SEPTEMBER</v>
          </cell>
          <cell r="I28" t="str">
            <v>Closed</v>
          </cell>
          <cell r="J28" t="str">
            <v>sjara.mella</v>
          </cell>
          <cell r="K28">
            <v>45190</v>
          </cell>
          <cell r="L28">
            <v>45260</v>
          </cell>
          <cell r="M28" t="str">
            <v>G1</v>
          </cell>
          <cell r="N28" t="str">
            <v>DIGITAL MEDIA</v>
          </cell>
          <cell r="O28" t="str">
            <v>A250</v>
          </cell>
          <cell r="P28" t="str">
            <v>DISPLAY</v>
          </cell>
          <cell r="Q28" t="str">
            <v>2024</v>
          </cell>
          <cell r="R28" t="str">
            <v>FZX3JE</v>
          </cell>
          <cell r="S28" t="str">
            <v>Cencosud Retail S.A.</v>
          </cell>
          <cell r="T28" t="str">
            <v/>
          </cell>
        </row>
        <row r="29">
          <cell r="C29" t="str">
            <v>T23C850001412</v>
          </cell>
          <cell r="D29" t="str">
            <v>A23C850002080</v>
          </cell>
          <cell r="E29">
            <v>0</v>
          </cell>
          <cell r="F29">
            <v>5000000</v>
          </cell>
          <cell r="G29" t="str">
            <v>Mobile Phone</v>
          </cell>
          <cell r="H29" t="str">
            <v>[2]ALWAYS ON HHP RETAIL.COM CAMPAIGN SEPTEMBER</v>
          </cell>
          <cell r="I29" t="str">
            <v>Closed</v>
          </cell>
          <cell r="J29" t="str">
            <v>sjara.mella</v>
          </cell>
          <cell r="K29">
            <v>45190</v>
          </cell>
          <cell r="L29">
            <v>45260</v>
          </cell>
          <cell r="M29" t="str">
            <v>G1</v>
          </cell>
          <cell r="N29" t="str">
            <v>DIGITAL MEDIA</v>
          </cell>
          <cell r="O29" t="str">
            <v>A240</v>
          </cell>
          <cell r="P29" t="str">
            <v>SEARCH</v>
          </cell>
          <cell r="Q29" t="str">
            <v>2024</v>
          </cell>
          <cell r="R29" t="str">
            <v>FZX3JE</v>
          </cell>
          <cell r="S29" t="str">
            <v>Cencosud Retail S.A.</v>
          </cell>
          <cell r="T29" t="str">
            <v/>
          </cell>
        </row>
        <row r="30">
          <cell r="C30" t="str">
            <v>T23C850001412</v>
          </cell>
          <cell r="D30" t="str">
            <v>A23C850002080</v>
          </cell>
          <cell r="E30">
            <v>0</v>
          </cell>
          <cell r="F30">
            <v>2000000</v>
          </cell>
          <cell r="G30" t="str">
            <v>Mobile Phone</v>
          </cell>
          <cell r="H30" t="str">
            <v>[2]ALWAYS ON HHP RETAIL.COM CAMPAIGN SEPTEMBER</v>
          </cell>
          <cell r="I30" t="str">
            <v>Closed</v>
          </cell>
          <cell r="J30" t="str">
            <v>sjara.mella</v>
          </cell>
          <cell r="K30">
            <v>45190</v>
          </cell>
          <cell r="L30">
            <v>45260</v>
          </cell>
          <cell r="M30" t="str">
            <v>G1</v>
          </cell>
          <cell r="N30" t="str">
            <v>DIGITAL MEDIA</v>
          </cell>
          <cell r="O30" t="str">
            <v>A230</v>
          </cell>
          <cell r="P30" t="str">
            <v>SOCIAL ADS</v>
          </cell>
          <cell r="Q30" t="str">
            <v>2024</v>
          </cell>
          <cell r="R30" t="str">
            <v>FZX3JE</v>
          </cell>
          <cell r="S30" t="str">
            <v>Cencosud Retail S.A.</v>
          </cell>
          <cell r="T30" t="str">
            <v/>
          </cell>
        </row>
        <row r="31">
          <cell r="C31" t="str">
            <v>T23C850001468</v>
          </cell>
          <cell r="D31" t="str">
            <v>A23C850002130</v>
          </cell>
          <cell r="E31">
            <v>0</v>
          </cell>
          <cell r="F31">
            <v>3000000</v>
          </cell>
          <cell r="G31" t="str">
            <v>Mobile Phone</v>
          </cell>
          <cell r="H31" t="str">
            <v>[2]RETAIL HHP OCTOBER CAMPAIGN</v>
          </cell>
          <cell r="I31" t="str">
            <v>Closed</v>
          </cell>
          <cell r="J31" t="str">
            <v>r.gonzalezs</v>
          </cell>
          <cell r="K31">
            <v>45200</v>
          </cell>
          <cell r="L31">
            <v>45260</v>
          </cell>
          <cell r="M31" t="str">
            <v>G1</v>
          </cell>
          <cell r="N31" t="str">
            <v>DIGITAL MEDIA</v>
          </cell>
          <cell r="O31" t="str">
            <v>A250</v>
          </cell>
          <cell r="P31" t="str">
            <v>DISPLAY</v>
          </cell>
          <cell r="Q31" t="str">
            <v>2024</v>
          </cell>
          <cell r="R31" t="str">
            <v>FZX3JE</v>
          </cell>
          <cell r="S31" t="str">
            <v>Cencosud Retail S.A.</v>
          </cell>
          <cell r="T31" t="str">
            <v/>
          </cell>
        </row>
        <row r="32">
          <cell r="C32" t="str">
            <v>T23C850001468</v>
          </cell>
          <cell r="D32" t="str">
            <v>A23C850002130</v>
          </cell>
          <cell r="E32">
            <v>0</v>
          </cell>
          <cell r="F32">
            <v>10000000</v>
          </cell>
          <cell r="G32" t="str">
            <v>Mobile Phone</v>
          </cell>
          <cell r="H32" t="str">
            <v>[2]RETAIL HHP OCTOBER CAMPAIGN</v>
          </cell>
          <cell r="I32" t="str">
            <v>Closed</v>
          </cell>
          <cell r="J32" t="str">
            <v>r.gonzalezs</v>
          </cell>
          <cell r="K32">
            <v>45200</v>
          </cell>
          <cell r="L32">
            <v>45260</v>
          </cell>
          <cell r="M32" t="str">
            <v>G1</v>
          </cell>
          <cell r="N32" t="str">
            <v>DIGITAL MEDIA</v>
          </cell>
          <cell r="O32" t="str">
            <v>A240</v>
          </cell>
          <cell r="P32" t="str">
            <v>SEARCH</v>
          </cell>
          <cell r="Q32" t="str">
            <v>2024</v>
          </cell>
          <cell r="R32" t="str">
            <v>FZX3JE</v>
          </cell>
          <cell r="S32" t="str">
            <v>Cencosud Retail S.A.</v>
          </cell>
          <cell r="T32" t="str">
            <v/>
          </cell>
        </row>
        <row r="33">
          <cell r="C33" t="str">
            <v>T23C850001468</v>
          </cell>
          <cell r="D33" t="str">
            <v>A23C850002130</v>
          </cell>
          <cell r="E33">
            <v>0</v>
          </cell>
          <cell r="F33">
            <v>6000000</v>
          </cell>
          <cell r="G33" t="str">
            <v>Mobile Phone</v>
          </cell>
          <cell r="H33" t="str">
            <v>[2]RETAIL HHP OCTOBER CAMPAIGN</v>
          </cell>
          <cell r="I33" t="str">
            <v>Closed</v>
          </cell>
          <cell r="J33" t="str">
            <v>r.gonzalezs</v>
          </cell>
          <cell r="K33">
            <v>45200</v>
          </cell>
          <cell r="L33">
            <v>45260</v>
          </cell>
          <cell r="M33" t="str">
            <v>G1</v>
          </cell>
          <cell r="N33" t="str">
            <v>DIGITAL MEDIA</v>
          </cell>
          <cell r="O33" t="str">
            <v>A230</v>
          </cell>
          <cell r="P33" t="str">
            <v>SOCIAL ADS</v>
          </cell>
          <cell r="Q33" t="str">
            <v>2024</v>
          </cell>
          <cell r="R33" t="str">
            <v>FZX3JE</v>
          </cell>
          <cell r="S33" t="str">
            <v>Cencosud Retail S.A.</v>
          </cell>
          <cell r="T33" t="str">
            <v/>
          </cell>
        </row>
        <row r="34">
          <cell r="C34" t="str">
            <v>T23C850001499</v>
          </cell>
          <cell r="D34" t="str">
            <v>A23C850002189</v>
          </cell>
          <cell r="E34">
            <v>0</v>
          </cell>
          <cell r="F34">
            <v>2000000</v>
          </cell>
          <cell r="G34" t="str">
            <v>Mobile Phone</v>
          </cell>
          <cell r="H34" t="str">
            <v>[2]WRBLS/RETAIL/Q4 CAMPAIGNS</v>
          </cell>
          <cell r="I34" t="str">
            <v>Closed</v>
          </cell>
          <cell r="J34" t="str">
            <v>j.albornoz</v>
          </cell>
          <cell r="K34">
            <v>45200</v>
          </cell>
          <cell r="L34">
            <v>45291</v>
          </cell>
          <cell r="M34" t="str">
            <v>G1</v>
          </cell>
          <cell r="N34" t="str">
            <v>DIGITAL MEDIA</v>
          </cell>
          <cell r="O34" t="str">
            <v>A250</v>
          </cell>
          <cell r="P34" t="str">
            <v>DISPLAY</v>
          </cell>
          <cell r="Q34" t="str">
            <v>2024</v>
          </cell>
          <cell r="R34" t="str">
            <v>FZX3JE</v>
          </cell>
          <cell r="S34" t="str">
            <v>Cencosud Retail S.A.</v>
          </cell>
          <cell r="T34" t="str">
            <v/>
          </cell>
        </row>
        <row r="35">
          <cell r="C35" t="str">
            <v>T23C850001499</v>
          </cell>
          <cell r="D35" t="str">
            <v>A23C850002189</v>
          </cell>
          <cell r="E35">
            <v>0</v>
          </cell>
          <cell r="F35">
            <v>3080000</v>
          </cell>
          <cell r="G35" t="str">
            <v>Mobile Phone</v>
          </cell>
          <cell r="H35" t="str">
            <v>[2]WRBLS/RETAIL/Q4 CAMPAIGNS</v>
          </cell>
          <cell r="I35" t="str">
            <v>Closed</v>
          </cell>
          <cell r="J35" t="str">
            <v>j.albornoz</v>
          </cell>
          <cell r="K35">
            <v>45200</v>
          </cell>
          <cell r="L35">
            <v>45291</v>
          </cell>
          <cell r="M35" t="str">
            <v>G1</v>
          </cell>
          <cell r="N35" t="str">
            <v>DIGITAL MEDIA</v>
          </cell>
          <cell r="O35" t="str">
            <v>A240</v>
          </cell>
          <cell r="P35" t="str">
            <v>SEARCH</v>
          </cell>
          <cell r="Q35" t="str">
            <v>2024</v>
          </cell>
          <cell r="R35" t="str">
            <v>FZX3JE</v>
          </cell>
          <cell r="S35" t="str">
            <v>Cencosud Retail S.A.</v>
          </cell>
          <cell r="T35" t="str">
            <v/>
          </cell>
        </row>
        <row r="36">
          <cell r="C36" t="str">
            <v>T23C850001499</v>
          </cell>
          <cell r="D36" t="str">
            <v>A23C850002189</v>
          </cell>
          <cell r="E36">
            <v>0</v>
          </cell>
          <cell r="F36">
            <v>950000</v>
          </cell>
          <cell r="G36" t="str">
            <v>Mobile Phone</v>
          </cell>
          <cell r="H36" t="str">
            <v>[2]WRBLS/RETAIL/Q4 CAMPAIGNS</v>
          </cell>
          <cell r="I36" t="str">
            <v>Closed</v>
          </cell>
          <cell r="J36" t="str">
            <v>j.albornoz</v>
          </cell>
          <cell r="K36">
            <v>45200</v>
          </cell>
          <cell r="L36">
            <v>45291</v>
          </cell>
          <cell r="M36" t="str">
            <v>G1</v>
          </cell>
          <cell r="N36" t="str">
            <v>DIGITAL MEDIA</v>
          </cell>
          <cell r="O36" t="str">
            <v>A230</v>
          </cell>
          <cell r="P36" t="str">
            <v>SOCIAL ADS</v>
          </cell>
          <cell r="Q36" t="str">
            <v>2024</v>
          </cell>
          <cell r="R36" t="str">
            <v>FZX3JE</v>
          </cell>
          <cell r="S36" t="str">
            <v>Cencosud Retail S.A.</v>
          </cell>
          <cell r="T36" t="str">
            <v/>
          </cell>
        </row>
        <row r="37">
          <cell r="C37" t="str">
            <v>T23C850001507</v>
          </cell>
          <cell r="D37" t="str">
            <v>A23C850002181</v>
          </cell>
          <cell r="E37">
            <v>0</v>
          </cell>
          <cell r="F37">
            <v>1600000</v>
          </cell>
          <cell r="G37" t="str">
            <v>Computer</v>
          </cell>
          <cell r="H37" t="str">
            <v>[2]NPC/RETAIL/Q4 CAMPAIGNS</v>
          </cell>
          <cell r="I37" t="str">
            <v>Closed</v>
          </cell>
          <cell r="J37" t="str">
            <v>j.albornoz</v>
          </cell>
          <cell r="K37">
            <v>45200</v>
          </cell>
          <cell r="L37">
            <v>45291</v>
          </cell>
          <cell r="M37" t="str">
            <v>C3</v>
          </cell>
          <cell r="N37" t="str">
            <v>DIGITAL MEDIA</v>
          </cell>
          <cell r="O37" t="str">
            <v>A230</v>
          </cell>
          <cell r="P37" t="str">
            <v>SOCIAL ADS</v>
          </cell>
          <cell r="Q37" t="str">
            <v>2024</v>
          </cell>
          <cell r="R37" t="str">
            <v>FZX3JE</v>
          </cell>
          <cell r="S37" t="str">
            <v>Cencosud Retail S.A.</v>
          </cell>
          <cell r="T37" t="str">
            <v/>
          </cell>
        </row>
        <row r="38">
          <cell r="C38" t="str">
            <v>T23C850001507</v>
          </cell>
          <cell r="D38" t="str">
            <v>A23C850002181</v>
          </cell>
          <cell r="E38">
            <v>0</v>
          </cell>
          <cell r="F38">
            <v>4300000</v>
          </cell>
          <cell r="G38" t="str">
            <v>Computer</v>
          </cell>
          <cell r="H38" t="str">
            <v>[2]NPC/RETAIL/Q4 CAMPAIGNS</v>
          </cell>
          <cell r="I38" t="str">
            <v>Closed</v>
          </cell>
          <cell r="J38" t="str">
            <v>j.albornoz</v>
          </cell>
          <cell r="K38">
            <v>45200</v>
          </cell>
          <cell r="L38">
            <v>45291</v>
          </cell>
          <cell r="M38" t="str">
            <v>C3</v>
          </cell>
          <cell r="N38" t="str">
            <v>DIGITAL MEDIA</v>
          </cell>
          <cell r="O38" t="str">
            <v>A240</v>
          </cell>
          <cell r="P38" t="str">
            <v>SEARCH</v>
          </cell>
          <cell r="Q38" t="str">
            <v>2024</v>
          </cell>
          <cell r="R38" t="str">
            <v>FZX3JE</v>
          </cell>
          <cell r="S38" t="str">
            <v>Cencosud Retail S.A.</v>
          </cell>
          <cell r="T38" t="str">
            <v/>
          </cell>
        </row>
        <row r="39">
          <cell r="C39" t="str">
            <v>T23C850001507</v>
          </cell>
          <cell r="D39" t="str">
            <v>A23C850002181</v>
          </cell>
          <cell r="E39">
            <v>0</v>
          </cell>
          <cell r="F39">
            <v>2200000</v>
          </cell>
          <cell r="G39" t="str">
            <v>Computer</v>
          </cell>
          <cell r="H39" t="str">
            <v>[2]NPC/RETAIL/Q4 CAMPAIGNS</v>
          </cell>
          <cell r="I39" t="str">
            <v>Closed</v>
          </cell>
          <cell r="J39" t="str">
            <v>j.albornoz</v>
          </cell>
          <cell r="K39">
            <v>45200</v>
          </cell>
          <cell r="L39">
            <v>45291</v>
          </cell>
          <cell r="M39" t="str">
            <v>C3</v>
          </cell>
          <cell r="N39" t="str">
            <v>DIGITAL MEDIA</v>
          </cell>
          <cell r="O39" t="str">
            <v>A250</v>
          </cell>
          <cell r="P39" t="str">
            <v>DISPLAY</v>
          </cell>
          <cell r="Q39" t="str">
            <v>2024</v>
          </cell>
          <cell r="R39" t="str">
            <v>FZX3JE</v>
          </cell>
          <cell r="S39" t="str">
            <v>Cencosud Retail S.A.</v>
          </cell>
          <cell r="T39" t="str">
            <v/>
          </cell>
        </row>
        <row r="40">
          <cell r="C40" t="str">
            <v>T23C850001513</v>
          </cell>
          <cell r="D40" t="str">
            <v>A23C850002177</v>
          </cell>
          <cell r="E40">
            <v>0</v>
          </cell>
          <cell r="F40">
            <v>4000000</v>
          </cell>
          <cell r="G40" t="str">
            <v>Mobile Phone</v>
          </cell>
          <cell r="H40" t="str">
            <v>[2]TAB/RETAIL/Q4 CAMPAIGNS</v>
          </cell>
          <cell r="I40" t="str">
            <v>Closed</v>
          </cell>
          <cell r="J40" t="str">
            <v>j.albornoz</v>
          </cell>
          <cell r="K40">
            <v>45200</v>
          </cell>
          <cell r="L40">
            <v>45291</v>
          </cell>
          <cell r="M40" t="str">
            <v>G1</v>
          </cell>
          <cell r="N40" t="str">
            <v>DIGITAL MEDIA</v>
          </cell>
          <cell r="O40" t="str">
            <v>A250</v>
          </cell>
          <cell r="P40" t="str">
            <v>DISPLAY</v>
          </cell>
          <cell r="Q40" t="str">
            <v>2024</v>
          </cell>
          <cell r="R40" t="str">
            <v>FZX3JE</v>
          </cell>
          <cell r="S40" t="str">
            <v>Cencosud Retail S.A.</v>
          </cell>
          <cell r="T40" t="str">
            <v/>
          </cell>
        </row>
        <row r="41">
          <cell r="C41" t="str">
            <v>T23C850001513</v>
          </cell>
          <cell r="D41" t="str">
            <v>A23C850002177</v>
          </cell>
          <cell r="E41">
            <v>0</v>
          </cell>
          <cell r="F41">
            <v>6350000</v>
          </cell>
          <cell r="G41" t="str">
            <v>Mobile Phone</v>
          </cell>
          <cell r="H41" t="str">
            <v>[2]TAB/RETAIL/Q4 CAMPAIGNS</v>
          </cell>
          <cell r="I41" t="str">
            <v>Closed</v>
          </cell>
          <cell r="J41" t="str">
            <v>j.albornoz</v>
          </cell>
          <cell r="K41">
            <v>45200</v>
          </cell>
          <cell r="L41">
            <v>45291</v>
          </cell>
          <cell r="M41" t="str">
            <v>G1</v>
          </cell>
          <cell r="N41" t="str">
            <v>DIGITAL MEDIA</v>
          </cell>
          <cell r="O41" t="str">
            <v>A240</v>
          </cell>
          <cell r="P41" t="str">
            <v>SEARCH</v>
          </cell>
          <cell r="Q41" t="str">
            <v>2024</v>
          </cell>
          <cell r="R41" t="str">
            <v>FZX3JE</v>
          </cell>
          <cell r="S41" t="str">
            <v>Cencosud Retail S.A.</v>
          </cell>
          <cell r="T41" t="str">
            <v/>
          </cell>
        </row>
        <row r="42">
          <cell r="C42" t="str">
            <v>T23C850001513</v>
          </cell>
          <cell r="D42" t="str">
            <v>A23C850002177</v>
          </cell>
          <cell r="E42">
            <v>0</v>
          </cell>
          <cell r="F42">
            <v>2400000</v>
          </cell>
          <cell r="G42" t="str">
            <v>Mobile Phone</v>
          </cell>
          <cell r="H42" t="str">
            <v>[2]TAB/RETAIL/Q4 CAMPAIGNS</v>
          </cell>
          <cell r="I42" t="str">
            <v>Closed</v>
          </cell>
          <cell r="J42" t="str">
            <v>j.albornoz</v>
          </cell>
          <cell r="K42">
            <v>45200</v>
          </cell>
          <cell r="L42">
            <v>45291</v>
          </cell>
          <cell r="M42" t="str">
            <v>G1</v>
          </cell>
          <cell r="N42" t="str">
            <v>DIGITAL MEDIA</v>
          </cell>
          <cell r="O42" t="str">
            <v>A230</v>
          </cell>
          <cell r="P42" t="str">
            <v>SOCIAL ADS</v>
          </cell>
          <cell r="Q42" t="str">
            <v>2024</v>
          </cell>
          <cell r="R42" t="str">
            <v>FZX3JE</v>
          </cell>
          <cell r="S42" t="str">
            <v>Cencosud Retail S.A.</v>
          </cell>
          <cell r="T42" t="str">
            <v/>
          </cell>
        </row>
        <row r="43">
          <cell r="C43" t="str">
            <v>T23C850001658</v>
          </cell>
          <cell r="D43" t="str">
            <v>A23C850002352</v>
          </cell>
          <cell r="E43">
            <v>0</v>
          </cell>
          <cell r="F43">
            <v>3000000</v>
          </cell>
          <cell r="G43" t="str">
            <v>Mobile Phone</v>
          </cell>
          <cell r="H43" t="str">
            <v>[2]RETAIL HHP AON NOVEMBER RETAIL A</v>
          </cell>
          <cell r="I43" t="str">
            <v>Closed</v>
          </cell>
          <cell r="J43" t="str">
            <v>sjara.mella</v>
          </cell>
          <cell r="K43">
            <v>45237</v>
          </cell>
          <cell r="L43">
            <v>45291</v>
          </cell>
          <cell r="M43" t="str">
            <v>G1</v>
          </cell>
          <cell r="N43" t="str">
            <v>DIGITAL MEDIA</v>
          </cell>
          <cell r="O43" t="str">
            <v>A240</v>
          </cell>
          <cell r="P43" t="str">
            <v>SEARCH</v>
          </cell>
          <cell r="Q43" t="str">
            <v>2024</v>
          </cell>
          <cell r="R43" t="str">
            <v>FZX3JE</v>
          </cell>
          <cell r="S43" t="str">
            <v>Cencosud Retail S.A.</v>
          </cell>
          <cell r="T43" t="str">
            <v/>
          </cell>
        </row>
        <row r="44">
          <cell r="C44" t="str">
            <v>T23C850001658</v>
          </cell>
          <cell r="D44" t="str">
            <v>A23C850002352</v>
          </cell>
          <cell r="E44">
            <v>0</v>
          </cell>
          <cell r="F44">
            <v>3000000</v>
          </cell>
          <cell r="G44" t="str">
            <v>Mobile Phone</v>
          </cell>
          <cell r="H44" t="str">
            <v>[2]RETAIL HHP AON NOVEMBER RETAIL A</v>
          </cell>
          <cell r="I44" t="str">
            <v>Closed</v>
          </cell>
          <cell r="J44" t="str">
            <v>sjara.mella</v>
          </cell>
          <cell r="K44">
            <v>45237</v>
          </cell>
          <cell r="L44">
            <v>45291</v>
          </cell>
          <cell r="M44" t="str">
            <v>G1</v>
          </cell>
          <cell r="N44" t="str">
            <v>DIGITAL MEDIA</v>
          </cell>
          <cell r="O44" t="str">
            <v>A230</v>
          </cell>
          <cell r="P44" t="str">
            <v>SOCIAL ADS</v>
          </cell>
          <cell r="Q44" t="str">
            <v>2024</v>
          </cell>
          <cell r="R44" t="str">
            <v>FZX3JE</v>
          </cell>
          <cell r="S44" t="str">
            <v>Cencosud Retail S.A.</v>
          </cell>
          <cell r="T44" t="str">
            <v/>
          </cell>
        </row>
        <row r="45">
          <cell r="C45" t="str">
            <v>T23C850001664</v>
          </cell>
          <cell r="D45" t="str">
            <v>A23C850002359</v>
          </cell>
          <cell r="E45">
            <v>0</v>
          </cell>
          <cell r="F45">
            <v>500000</v>
          </cell>
          <cell r="G45" t="str">
            <v>Mobile Phone</v>
          </cell>
          <cell r="H45" t="str">
            <v>[2]RETAIL HHP S23 FE LAUNCH CAMPAIGN</v>
          </cell>
          <cell r="I45" t="str">
            <v>Closed</v>
          </cell>
          <cell r="J45" t="str">
            <v>sjara.mella</v>
          </cell>
          <cell r="K45">
            <v>45230</v>
          </cell>
          <cell r="L45">
            <v>45291</v>
          </cell>
          <cell r="M45" t="str">
            <v>G1</v>
          </cell>
          <cell r="N45" t="str">
            <v>DIGITAL MEDIA</v>
          </cell>
          <cell r="O45" t="str">
            <v>A250</v>
          </cell>
          <cell r="P45" t="str">
            <v>DISPLAY</v>
          </cell>
          <cell r="Q45" t="str">
            <v>2024</v>
          </cell>
          <cell r="R45" t="str">
            <v>FZX3JE</v>
          </cell>
          <cell r="S45" t="str">
            <v>Cencosud Retail S.A.</v>
          </cell>
          <cell r="T45" t="str">
            <v/>
          </cell>
        </row>
        <row r="46">
          <cell r="C46" t="str">
            <v>T23C850001664</v>
          </cell>
          <cell r="D46" t="str">
            <v>A23C850002359</v>
          </cell>
          <cell r="E46">
            <v>0</v>
          </cell>
          <cell r="F46">
            <v>500000</v>
          </cell>
          <cell r="G46" t="str">
            <v>Mobile Phone</v>
          </cell>
          <cell r="H46" t="str">
            <v>[2]RETAIL HHP S23 FE LAUNCH CAMPAIGN</v>
          </cell>
          <cell r="I46" t="str">
            <v>Closed</v>
          </cell>
          <cell r="J46" t="str">
            <v>sjara.mella</v>
          </cell>
          <cell r="K46">
            <v>45230</v>
          </cell>
          <cell r="L46">
            <v>45291</v>
          </cell>
          <cell r="M46" t="str">
            <v>G1</v>
          </cell>
          <cell r="N46" t="str">
            <v>DIGITAL MEDIA</v>
          </cell>
          <cell r="O46" t="str">
            <v>A240</v>
          </cell>
          <cell r="P46" t="str">
            <v>SEARCH</v>
          </cell>
          <cell r="Q46" t="str">
            <v>2024</v>
          </cell>
          <cell r="R46" t="str">
            <v>FZX3JE</v>
          </cell>
          <cell r="S46" t="str">
            <v>Cencosud Retail S.A.</v>
          </cell>
          <cell r="T46" t="str">
            <v/>
          </cell>
        </row>
        <row r="47">
          <cell r="C47" t="str">
            <v>T23C850001664</v>
          </cell>
          <cell r="D47" t="str">
            <v>A23C850002359</v>
          </cell>
          <cell r="E47">
            <v>0</v>
          </cell>
          <cell r="F47">
            <v>1000000</v>
          </cell>
          <cell r="G47" t="str">
            <v>Mobile Phone</v>
          </cell>
          <cell r="H47" t="str">
            <v>[2]RETAIL HHP S23 FE LAUNCH CAMPAIGN</v>
          </cell>
          <cell r="I47" t="str">
            <v>Closed</v>
          </cell>
          <cell r="J47" t="str">
            <v>sjara.mella</v>
          </cell>
          <cell r="K47">
            <v>45230</v>
          </cell>
          <cell r="L47">
            <v>45291</v>
          </cell>
          <cell r="M47" t="str">
            <v>G1</v>
          </cell>
          <cell r="N47" t="str">
            <v>DIGITAL MEDIA</v>
          </cell>
          <cell r="O47" t="str">
            <v>A230</v>
          </cell>
          <cell r="P47" t="str">
            <v>SOCIAL ADS</v>
          </cell>
          <cell r="Q47" t="str">
            <v>2024</v>
          </cell>
          <cell r="R47" t="str">
            <v>FZX3JE</v>
          </cell>
          <cell r="S47" t="str">
            <v>Cencosud Retail S.A.</v>
          </cell>
          <cell r="T47" t="str">
            <v/>
          </cell>
        </row>
        <row r="48">
          <cell r="C48" t="str">
            <v>T24C850000091</v>
          </cell>
          <cell r="D48" t="str">
            <v>A24C850000149</v>
          </cell>
          <cell r="E48">
            <v>1000000</v>
          </cell>
          <cell r="F48">
            <v>0</v>
          </cell>
          <cell r="G48" t="str">
            <v>Mobile Phone</v>
          </cell>
          <cell r="H48" t="str">
            <v>[2]HHP AON CAMPAIGN RETAILERS JANUARY</v>
          </cell>
          <cell r="I48" t="str">
            <v>Closed</v>
          </cell>
          <cell r="J48" t="str">
            <v>fernandez.r</v>
          </cell>
          <cell r="K48">
            <v>45301</v>
          </cell>
          <cell r="L48">
            <v>45382</v>
          </cell>
          <cell r="M48" t="str">
            <v>G1</v>
          </cell>
          <cell r="N48" t="str">
            <v>DIGITAL MEDIA</v>
          </cell>
          <cell r="O48" t="str">
            <v>A250</v>
          </cell>
          <cell r="P48" t="str">
            <v>DISPLAY</v>
          </cell>
          <cell r="Q48" t="str">
            <v>2024</v>
          </cell>
          <cell r="R48" t="str">
            <v>FZX3JE</v>
          </cell>
          <cell r="S48" t="str">
            <v>Cencosud Retail S.A.</v>
          </cell>
          <cell r="T48" t="str">
            <v/>
          </cell>
        </row>
        <row r="49">
          <cell r="C49" t="str">
            <v>T24C850000091</v>
          </cell>
          <cell r="D49" t="str">
            <v>A24C850000149</v>
          </cell>
          <cell r="E49">
            <v>0</v>
          </cell>
          <cell r="F49">
            <v>1000000</v>
          </cell>
          <cell r="G49" t="str">
            <v>Mobile Phone</v>
          </cell>
          <cell r="H49" t="str">
            <v>[2]HHP AON CAMPAIGN RETAILERS JANUARY</v>
          </cell>
          <cell r="I49" t="str">
            <v>Closed</v>
          </cell>
          <cell r="J49" t="str">
            <v>fernandez.r</v>
          </cell>
          <cell r="K49">
            <v>45301</v>
          </cell>
          <cell r="L49">
            <v>45382</v>
          </cell>
          <cell r="M49" t="str">
            <v>G1</v>
          </cell>
          <cell r="N49" t="str">
            <v>DIGITAL MEDIA</v>
          </cell>
          <cell r="O49" t="str">
            <v>A250</v>
          </cell>
          <cell r="P49" t="str">
            <v>DISPLAY</v>
          </cell>
          <cell r="Q49" t="str">
            <v>2024</v>
          </cell>
          <cell r="R49" t="str">
            <v>FZX3JE</v>
          </cell>
          <cell r="S49" t="str">
            <v>Cencosud Retail S.A.</v>
          </cell>
          <cell r="T49" t="str">
            <v/>
          </cell>
        </row>
        <row r="50">
          <cell r="C50" t="str">
            <v>T24C850000091</v>
          </cell>
          <cell r="D50" t="str">
            <v>A24C850000149</v>
          </cell>
          <cell r="E50">
            <v>821109</v>
          </cell>
          <cell r="F50">
            <v>0</v>
          </cell>
          <cell r="G50" t="str">
            <v>Mobile Phone</v>
          </cell>
          <cell r="H50" t="str">
            <v>[2]HHP AON CAMPAIGN RETAILERS JANUARY</v>
          </cell>
          <cell r="I50" t="str">
            <v>Closed</v>
          </cell>
          <cell r="J50" t="str">
            <v>fernandez.r</v>
          </cell>
          <cell r="K50">
            <v>45301</v>
          </cell>
          <cell r="L50">
            <v>45382</v>
          </cell>
          <cell r="M50" t="str">
            <v>G1</v>
          </cell>
          <cell r="N50" t="str">
            <v>DIGITAL MEDIA</v>
          </cell>
          <cell r="O50" t="str">
            <v>A240</v>
          </cell>
          <cell r="P50" t="str">
            <v>SEARCH</v>
          </cell>
          <cell r="Q50" t="str">
            <v>2024</v>
          </cell>
          <cell r="R50" t="str">
            <v>FZX3JE</v>
          </cell>
          <cell r="S50" t="str">
            <v>Cencosud Retail S.A.</v>
          </cell>
          <cell r="T50" t="str">
            <v/>
          </cell>
        </row>
        <row r="51">
          <cell r="C51" t="str">
            <v>T24C850000091</v>
          </cell>
          <cell r="D51" t="str">
            <v>A24C850000149</v>
          </cell>
          <cell r="E51">
            <v>1071109</v>
          </cell>
          <cell r="F51">
            <v>0</v>
          </cell>
          <cell r="G51" t="str">
            <v>Mobile Phone</v>
          </cell>
          <cell r="H51" t="str">
            <v>[2]HHP AON CAMPAIGN RETAILERS JANUARY</v>
          </cell>
          <cell r="I51" t="str">
            <v>Closed</v>
          </cell>
          <cell r="J51" t="str">
            <v>fernandez.r</v>
          </cell>
          <cell r="K51">
            <v>45301</v>
          </cell>
          <cell r="L51">
            <v>45382</v>
          </cell>
          <cell r="M51" t="str">
            <v>G1</v>
          </cell>
          <cell r="N51" t="str">
            <v>DIGITAL MEDIA</v>
          </cell>
          <cell r="O51" t="str">
            <v>A240</v>
          </cell>
          <cell r="P51" t="str">
            <v>SEARCH</v>
          </cell>
          <cell r="Q51" t="str">
            <v>2024</v>
          </cell>
          <cell r="R51" t="str">
            <v>FZX3JE</v>
          </cell>
          <cell r="S51" t="str">
            <v>Cencosud Retail S.A.</v>
          </cell>
          <cell r="T51" t="str">
            <v/>
          </cell>
        </row>
        <row r="52">
          <cell r="C52" t="str">
            <v>T24C850000091</v>
          </cell>
          <cell r="D52" t="str">
            <v>A24C850000149</v>
          </cell>
          <cell r="E52">
            <v>0</v>
          </cell>
          <cell r="F52">
            <v>1890000</v>
          </cell>
          <cell r="G52" t="str">
            <v>Mobile Phone</v>
          </cell>
          <cell r="H52" t="str">
            <v>[2]HHP AON CAMPAIGN RETAILERS JANUARY</v>
          </cell>
          <cell r="I52" t="str">
            <v>Closed</v>
          </cell>
          <cell r="J52" t="str">
            <v>fernandez.r</v>
          </cell>
          <cell r="K52">
            <v>45301</v>
          </cell>
          <cell r="L52">
            <v>45382</v>
          </cell>
          <cell r="M52" t="str">
            <v>G1</v>
          </cell>
          <cell r="N52" t="str">
            <v>DIGITAL MEDIA</v>
          </cell>
          <cell r="O52" t="str">
            <v>A240</v>
          </cell>
          <cell r="P52" t="str">
            <v>SEARCH</v>
          </cell>
          <cell r="Q52" t="str">
            <v>2024</v>
          </cell>
          <cell r="R52" t="str">
            <v>FZX3JE</v>
          </cell>
          <cell r="S52" t="str">
            <v>Cencosud Retail S.A.</v>
          </cell>
          <cell r="T52" t="str">
            <v/>
          </cell>
        </row>
        <row r="53">
          <cell r="C53" t="str">
            <v>T24C850000091</v>
          </cell>
          <cell r="D53" t="str">
            <v>A24C850000149</v>
          </cell>
          <cell r="E53">
            <v>-2218</v>
          </cell>
          <cell r="F53">
            <v>0</v>
          </cell>
          <cell r="G53" t="str">
            <v>Mobile Phone</v>
          </cell>
          <cell r="H53" t="str">
            <v>[2]HHP AON CAMPAIGN RETAILERS JANUARY</v>
          </cell>
          <cell r="I53" t="str">
            <v>Closed</v>
          </cell>
          <cell r="J53" t="str">
            <v>fernandez.r</v>
          </cell>
          <cell r="K53">
            <v>45301</v>
          </cell>
          <cell r="L53">
            <v>45382</v>
          </cell>
          <cell r="M53" t="str">
            <v>G1</v>
          </cell>
          <cell r="N53" t="str">
            <v>DIGITAL MEDIA</v>
          </cell>
          <cell r="O53" t="str">
            <v>A240</v>
          </cell>
          <cell r="P53" t="str">
            <v>SEARCH</v>
          </cell>
          <cell r="Q53" t="str">
            <v>2024</v>
          </cell>
          <cell r="R53" t="str">
            <v>FZX3JE</v>
          </cell>
          <cell r="S53" t="str">
            <v>Cencosud Retail S.A.</v>
          </cell>
          <cell r="T53" t="str">
            <v/>
          </cell>
        </row>
        <row r="54">
          <cell r="C54" t="str">
            <v>T24C850000095</v>
          </cell>
          <cell r="D54" t="str">
            <v>A24C850000150</v>
          </cell>
          <cell r="E54">
            <v>2000000</v>
          </cell>
          <cell r="F54">
            <v>0</v>
          </cell>
          <cell r="G54" t="str">
            <v>Mobile Phone</v>
          </cell>
          <cell r="H54" t="str">
            <v>[2]HHP EUREKA CAMPAIGN RETAILERS JANUARY</v>
          </cell>
          <cell r="I54" t="str">
            <v>Closed</v>
          </cell>
          <cell r="J54" t="str">
            <v>fernandez.r</v>
          </cell>
          <cell r="K54">
            <v>45303</v>
          </cell>
          <cell r="L54">
            <v>45382</v>
          </cell>
          <cell r="M54" t="str">
            <v>G1</v>
          </cell>
          <cell r="N54" t="str">
            <v>DIGITAL MEDIA</v>
          </cell>
          <cell r="O54" t="str">
            <v>A250</v>
          </cell>
          <cell r="P54" t="str">
            <v>DISPLAY</v>
          </cell>
          <cell r="Q54" t="str">
            <v>2024</v>
          </cell>
          <cell r="R54" t="str">
            <v>FZX3JE</v>
          </cell>
          <cell r="S54" t="str">
            <v>Cencosud Retail S.A.</v>
          </cell>
          <cell r="T54" t="str">
            <v/>
          </cell>
        </row>
        <row r="55">
          <cell r="C55" t="str">
            <v>T24C850000095</v>
          </cell>
          <cell r="D55" t="str">
            <v>A24C850000150</v>
          </cell>
          <cell r="E55">
            <v>2000000</v>
          </cell>
          <cell r="F55">
            <v>0</v>
          </cell>
          <cell r="G55" t="str">
            <v>Mobile Phone</v>
          </cell>
          <cell r="H55" t="str">
            <v>[2]HHP EUREKA CAMPAIGN RETAILERS JANUARY</v>
          </cell>
          <cell r="I55" t="str">
            <v>Closed</v>
          </cell>
          <cell r="J55" t="str">
            <v>fernandez.r</v>
          </cell>
          <cell r="K55">
            <v>45303</v>
          </cell>
          <cell r="L55">
            <v>45382</v>
          </cell>
          <cell r="M55" t="str">
            <v>G1</v>
          </cell>
          <cell r="N55" t="str">
            <v>DIGITAL MEDIA</v>
          </cell>
          <cell r="O55" t="str">
            <v>A250</v>
          </cell>
          <cell r="P55" t="str">
            <v>DISPLAY</v>
          </cell>
          <cell r="Q55" t="str">
            <v>2024</v>
          </cell>
          <cell r="R55" t="str">
            <v>FZX3JE</v>
          </cell>
          <cell r="S55" t="str">
            <v>Cencosud Retail S.A.</v>
          </cell>
          <cell r="T55" t="str">
            <v/>
          </cell>
        </row>
        <row r="56">
          <cell r="C56" t="str">
            <v>T24C850000095</v>
          </cell>
          <cell r="D56" t="str">
            <v>A24C850000150</v>
          </cell>
          <cell r="E56">
            <v>0</v>
          </cell>
          <cell r="F56">
            <v>4000000</v>
          </cell>
          <cell r="G56" t="str">
            <v>Mobile Phone</v>
          </cell>
          <cell r="H56" t="str">
            <v>[2]HHP EUREKA CAMPAIGN RETAILERS JANUARY</v>
          </cell>
          <cell r="I56" t="str">
            <v>Closed</v>
          </cell>
          <cell r="J56" t="str">
            <v>fernandez.r</v>
          </cell>
          <cell r="K56">
            <v>45303</v>
          </cell>
          <cell r="L56">
            <v>45382</v>
          </cell>
          <cell r="M56" t="str">
            <v>G1</v>
          </cell>
          <cell r="N56" t="str">
            <v>DIGITAL MEDIA</v>
          </cell>
          <cell r="O56" t="str">
            <v>A250</v>
          </cell>
          <cell r="P56" t="str">
            <v>DISPLAY</v>
          </cell>
          <cell r="Q56" t="str">
            <v>2024</v>
          </cell>
          <cell r="R56" t="str">
            <v>FZX3JE</v>
          </cell>
          <cell r="S56" t="str">
            <v>Cencosud Retail S.A.</v>
          </cell>
          <cell r="T56" t="str">
            <v/>
          </cell>
        </row>
        <row r="57">
          <cell r="C57" t="str">
            <v>T24C850000095</v>
          </cell>
          <cell r="D57" t="str">
            <v>A24C850000150</v>
          </cell>
          <cell r="E57">
            <v>1500000</v>
          </cell>
          <cell r="F57">
            <v>0</v>
          </cell>
          <cell r="G57" t="str">
            <v>Mobile Phone</v>
          </cell>
          <cell r="H57" t="str">
            <v>[2]HHP EUREKA CAMPAIGN RETAILERS JANUARY</v>
          </cell>
          <cell r="I57" t="str">
            <v>Closed</v>
          </cell>
          <cell r="J57" t="str">
            <v>fernandez.r</v>
          </cell>
          <cell r="K57">
            <v>45303</v>
          </cell>
          <cell r="L57">
            <v>45382</v>
          </cell>
          <cell r="M57" t="str">
            <v>G1</v>
          </cell>
          <cell r="N57" t="str">
            <v>DIGITAL MEDIA</v>
          </cell>
          <cell r="O57" t="str">
            <v>A230</v>
          </cell>
          <cell r="P57" t="str">
            <v>SOCIAL ADS</v>
          </cell>
          <cell r="Q57" t="str">
            <v>2024</v>
          </cell>
          <cell r="R57" t="str">
            <v>FZX3JE</v>
          </cell>
          <cell r="S57" t="str">
            <v>Cencosud Retail S.A.</v>
          </cell>
          <cell r="T57" t="str">
            <v/>
          </cell>
        </row>
        <row r="58">
          <cell r="C58" t="str">
            <v>T24C850000095</v>
          </cell>
          <cell r="D58" t="str">
            <v>A24C850000150</v>
          </cell>
          <cell r="E58">
            <v>4000000</v>
          </cell>
          <cell r="F58">
            <v>0</v>
          </cell>
          <cell r="G58" t="str">
            <v>Mobile Phone</v>
          </cell>
          <cell r="H58" t="str">
            <v>[2]HHP EUREKA CAMPAIGN RETAILERS JANUARY</v>
          </cell>
          <cell r="I58" t="str">
            <v>Closed</v>
          </cell>
          <cell r="J58" t="str">
            <v>fernandez.r</v>
          </cell>
          <cell r="K58">
            <v>45303</v>
          </cell>
          <cell r="L58">
            <v>45382</v>
          </cell>
          <cell r="M58" t="str">
            <v>G1</v>
          </cell>
          <cell r="N58" t="str">
            <v>DIGITAL MEDIA</v>
          </cell>
          <cell r="O58" t="str">
            <v>A230</v>
          </cell>
          <cell r="P58" t="str">
            <v>SOCIAL ADS</v>
          </cell>
          <cell r="Q58" t="str">
            <v>2024</v>
          </cell>
          <cell r="R58" t="str">
            <v>FZX3JE</v>
          </cell>
          <cell r="S58" t="str">
            <v>Cencosud Retail S.A.</v>
          </cell>
          <cell r="T58" t="str">
            <v/>
          </cell>
        </row>
        <row r="59">
          <cell r="C59" t="str">
            <v>T24C850000095</v>
          </cell>
          <cell r="D59" t="str">
            <v>A24C850000150</v>
          </cell>
          <cell r="E59">
            <v>0</v>
          </cell>
          <cell r="F59">
            <v>5500000</v>
          </cell>
          <cell r="G59" t="str">
            <v>Mobile Phone</v>
          </cell>
          <cell r="H59" t="str">
            <v>[2]HHP EUREKA CAMPAIGN RETAILERS JANUARY</v>
          </cell>
          <cell r="I59" t="str">
            <v>Closed</v>
          </cell>
          <cell r="J59" t="str">
            <v>fernandez.r</v>
          </cell>
          <cell r="K59">
            <v>45303</v>
          </cell>
          <cell r="L59">
            <v>45382</v>
          </cell>
          <cell r="M59" t="str">
            <v>G1</v>
          </cell>
          <cell r="N59" t="str">
            <v>DIGITAL MEDIA</v>
          </cell>
          <cell r="O59" t="str">
            <v>A230</v>
          </cell>
          <cell r="P59" t="str">
            <v>SOCIAL ADS</v>
          </cell>
          <cell r="Q59" t="str">
            <v>2024</v>
          </cell>
          <cell r="R59" t="str">
            <v>FZX3JE</v>
          </cell>
          <cell r="S59" t="str">
            <v>Cencosud Retail S.A.</v>
          </cell>
          <cell r="T59" t="str">
            <v/>
          </cell>
        </row>
        <row r="60">
          <cell r="C60" t="str">
            <v>T24C850000095</v>
          </cell>
          <cell r="D60" t="str">
            <v>A24C850000150</v>
          </cell>
          <cell r="E60">
            <v>1500000</v>
          </cell>
          <cell r="F60">
            <v>0</v>
          </cell>
          <cell r="G60" t="str">
            <v>Mobile Phone</v>
          </cell>
          <cell r="H60" t="str">
            <v>[2]HHP EUREKA CAMPAIGN RETAILERS JANUARY</v>
          </cell>
          <cell r="I60" t="str">
            <v>Closed</v>
          </cell>
          <cell r="J60" t="str">
            <v>fernandez.r</v>
          </cell>
          <cell r="K60">
            <v>45303</v>
          </cell>
          <cell r="L60">
            <v>45382</v>
          </cell>
          <cell r="M60" t="str">
            <v>G1</v>
          </cell>
          <cell r="N60" t="str">
            <v>DIGITAL MEDIA</v>
          </cell>
          <cell r="O60" t="str">
            <v>A240</v>
          </cell>
          <cell r="P60" t="str">
            <v>SEARCH</v>
          </cell>
          <cell r="Q60" t="str">
            <v>2024</v>
          </cell>
          <cell r="R60" t="str">
            <v>FZX3JE</v>
          </cell>
          <cell r="S60" t="str">
            <v>Cencosud Retail S.A.</v>
          </cell>
          <cell r="T60" t="str">
            <v/>
          </cell>
        </row>
        <row r="61">
          <cell r="C61" t="str">
            <v>T24C850000095</v>
          </cell>
          <cell r="D61" t="str">
            <v>A24C850000150</v>
          </cell>
          <cell r="E61">
            <v>5000000</v>
          </cell>
          <cell r="F61">
            <v>0</v>
          </cell>
          <cell r="G61" t="str">
            <v>Mobile Phone</v>
          </cell>
          <cell r="H61" t="str">
            <v>[2]HHP EUREKA CAMPAIGN RETAILERS JANUARY</v>
          </cell>
          <cell r="I61" t="str">
            <v>Closed</v>
          </cell>
          <cell r="J61" t="str">
            <v>fernandez.r</v>
          </cell>
          <cell r="K61">
            <v>45303</v>
          </cell>
          <cell r="L61">
            <v>45382</v>
          </cell>
          <cell r="M61" t="str">
            <v>G1</v>
          </cell>
          <cell r="N61" t="str">
            <v>DIGITAL MEDIA</v>
          </cell>
          <cell r="O61" t="str">
            <v>A240</v>
          </cell>
          <cell r="P61" t="str">
            <v>SEARCH</v>
          </cell>
          <cell r="Q61" t="str">
            <v>2024</v>
          </cell>
          <cell r="R61" t="str">
            <v>FZX3JE</v>
          </cell>
          <cell r="S61" t="str">
            <v>Cencosud Retail S.A.</v>
          </cell>
          <cell r="T61" t="str">
            <v/>
          </cell>
        </row>
        <row r="62">
          <cell r="C62" t="str">
            <v>T24C850000095</v>
          </cell>
          <cell r="D62" t="str">
            <v>A24C850000150</v>
          </cell>
          <cell r="E62">
            <v>0</v>
          </cell>
          <cell r="F62">
            <v>6500000</v>
          </cell>
          <cell r="G62" t="str">
            <v>Mobile Phone</v>
          </cell>
          <cell r="H62" t="str">
            <v>[2]HHP EUREKA CAMPAIGN RETAILERS JANUARY</v>
          </cell>
          <cell r="I62" t="str">
            <v>Closed</v>
          </cell>
          <cell r="J62" t="str">
            <v>fernandez.r</v>
          </cell>
          <cell r="K62">
            <v>45303</v>
          </cell>
          <cell r="L62">
            <v>45382</v>
          </cell>
          <cell r="M62" t="str">
            <v>G1</v>
          </cell>
          <cell r="N62" t="str">
            <v>DIGITAL MEDIA</v>
          </cell>
          <cell r="O62" t="str">
            <v>A240</v>
          </cell>
          <cell r="P62" t="str">
            <v>SEARCH</v>
          </cell>
          <cell r="Q62" t="str">
            <v>2024</v>
          </cell>
          <cell r="R62" t="str">
            <v>FZX3JE</v>
          </cell>
          <cell r="S62" t="str">
            <v>Cencosud Retail S.A.</v>
          </cell>
          <cell r="T62" t="str">
            <v/>
          </cell>
        </row>
        <row r="63">
          <cell r="C63" t="str">
            <v>T24C850000095</v>
          </cell>
          <cell r="D63" t="str">
            <v>A24C850000150</v>
          </cell>
          <cell r="E63">
            <v>15000000</v>
          </cell>
          <cell r="F63">
            <v>0</v>
          </cell>
          <cell r="G63" t="str">
            <v>Mobile Phone</v>
          </cell>
          <cell r="H63" t="str">
            <v>[2]HHP EUREKA CAMPAIGN RETAILERS JANUARY</v>
          </cell>
          <cell r="I63" t="str">
            <v>Closed</v>
          </cell>
          <cell r="J63" t="str">
            <v>fernandez.r</v>
          </cell>
          <cell r="K63">
            <v>45303</v>
          </cell>
          <cell r="L63">
            <v>45382</v>
          </cell>
          <cell r="M63" t="str">
            <v>G1</v>
          </cell>
          <cell r="N63" t="str">
            <v>TRADITIONAL MEDIA</v>
          </cell>
          <cell r="O63" t="str">
            <v>A110</v>
          </cell>
          <cell r="P63" t="str">
            <v>ADS TV</v>
          </cell>
          <cell r="Q63" t="str">
            <v>2024</v>
          </cell>
          <cell r="R63" t="str">
            <v>FZX3JE</v>
          </cell>
          <cell r="S63" t="str">
            <v>Cencosud Retail S.A.</v>
          </cell>
          <cell r="T63" t="str">
            <v/>
          </cell>
        </row>
        <row r="64">
          <cell r="C64" t="str">
            <v>T24C850000095</v>
          </cell>
          <cell r="D64" t="str">
            <v>A24C850000150</v>
          </cell>
          <cell r="E64">
            <v>15000000</v>
          </cell>
          <cell r="F64">
            <v>0</v>
          </cell>
          <cell r="G64" t="str">
            <v>Mobile Phone</v>
          </cell>
          <cell r="H64" t="str">
            <v>[2]HHP EUREKA CAMPAIGN RETAILERS JANUARY</v>
          </cell>
          <cell r="I64" t="str">
            <v>Closed</v>
          </cell>
          <cell r="J64" t="str">
            <v>fernandez.r</v>
          </cell>
          <cell r="K64">
            <v>45303</v>
          </cell>
          <cell r="L64">
            <v>45382</v>
          </cell>
          <cell r="M64" t="str">
            <v>G1</v>
          </cell>
          <cell r="N64" t="str">
            <v>TRADITIONAL MEDIA</v>
          </cell>
          <cell r="O64" t="str">
            <v>A110</v>
          </cell>
          <cell r="P64" t="str">
            <v>ADS TV</v>
          </cell>
          <cell r="Q64" t="str">
            <v>2024</v>
          </cell>
          <cell r="R64" t="str">
            <v>FZX3JE</v>
          </cell>
          <cell r="S64" t="str">
            <v>Cencosud Retail S.A.</v>
          </cell>
          <cell r="T64" t="str">
            <v/>
          </cell>
        </row>
        <row r="65">
          <cell r="C65" t="str">
            <v>T24C850000095</v>
          </cell>
          <cell r="D65" t="str">
            <v>A24C850000150</v>
          </cell>
          <cell r="E65">
            <v>0</v>
          </cell>
          <cell r="F65">
            <v>30000000</v>
          </cell>
          <cell r="G65" t="str">
            <v>Mobile Phone</v>
          </cell>
          <cell r="H65" t="str">
            <v>[2]HHP EUREKA CAMPAIGN RETAILERS JANUARY</v>
          </cell>
          <cell r="I65" t="str">
            <v>Closed</v>
          </cell>
          <cell r="J65" t="str">
            <v>fernandez.r</v>
          </cell>
          <cell r="K65">
            <v>45303</v>
          </cell>
          <cell r="L65">
            <v>45382</v>
          </cell>
          <cell r="M65" t="str">
            <v>G1</v>
          </cell>
          <cell r="N65" t="str">
            <v>TRADITIONAL MEDIA</v>
          </cell>
          <cell r="O65" t="str">
            <v>A110</v>
          </cell>
          <cell r="P65" t="str">
            <v>ADS TV</v>
          </cell>
          <cell r="Q65" t="str">
            <v>2024</v>
          </cell>
          <cell r="R65" t="str">
            <v>FZX3JE</v>
          </cell>
          <cell r="S65" t="str">
            <v>Cencosud Retail S.A.</v>
          </cell>
          <cell r="T65" t="str">
            <v/>
          </cell>
        </row>
        <row r="66">
          <cell r="C66" t="str">
            <v>T24C850000158</v>
          </cell>
          <cell r="D66" t="str">
            <v>A24C850000287</v>
          </cell>
          <cell r="E66">
            <v>105234772</v>
          </cell>
          <cell r="F66">
            <v>0</v>
          </cell>
          <cell r="G66" t="str">
            <v>Mobile Phone</v>
          </cell>
          <cell r="H66" t="str">
            <v>[5]PUMI APPROVED/HHP/V.GONZALEZG/PURCHASE RDU EUREKA</v>
          </cell>
          <cell r="I66" t="str">
            <v>Closed</v>
          </cell>
          <cell r="J66" t="str">
            <v>y.malave</v>
          </cell>
          <cell r="K66">
            <v>45313</v>
          </cell>
          <cell r="L66">
            <v>45382</v>
          </cell>
          <cell r="M66" t="str">
            <v>G1</v>
          </cell>
          <cell r="N66" t="str">
            <v>RETAIL</v>
          </cell>
          <cell r="O66" t="str">
            <v>B120</v>
          </cell>
          <cell r="P66" t="str">
            <v>SHELF MERCHANDISING</v>
          </cell>
          <cell r="Q66" t="str">
            <v>2024</v>
          </cell>
          <cell r="R66" t="str">
            <v>FZX3JE</v>
          </cell>
          <cell r="S66" t="str">
            <v>Cencosud Retail S.A.</v>
          </cell>
          <cell r="T66" t="str">
            <v/>
          </cell>
        </row>
        <row r="67">
          <cell r="C67" t="str">
            <v>T24C850000158</v>
          </cell>
          <cell r="D67" t="str">
            <v>A24C850000287</v>
          </cell>
          <cell r="E67">
            <v>0</v>
          </cell>
          <cell r="F67">
            <v>105234772</v>
          </cell>
          <cell r="G67" t="str">
            <v>Mobile Phone</v>
          </cell>
          <cell r="H67" t="str">
            <v>[5]PUMI APPROVED/HHP/V.GONZALEZG/PURCHASE RDU EUREKA</v>
          </cell>
          <cell r="I67" t="str">
            <v>Closed</v>
          </cell>
          <cell r="J67" t="str">
            <v>y.malave</v>
          </cell>
          <cell r="K67">
            <v>45313</v>
          </cell>
          <cell r="L67">
            <v>45382</v>
          </cell>
          <cell r="M67" t="str">
            <v>G1</v>
          </cell>
          <cell r="N67" t="str">
            <v>RETAIL</v>
          </cell>
          <cell r="O67" t="str">
            <v>B120</v>
          </cell>
          <cell r="P67" t="str">
            <v>SHELF MERCHANDISING</v>
          </cell>
          <cell r="Q67" t="str">
            <v>2024</v>
          </cell>
          <cell r="R67" t="str">
            <v>FZX3JE</v>
          </cell>
          <cell r="S67" t="str">
            <v>Cencosud Retail S.A.</v>
          </cell>
          <cell r="T67" t="str">
            <v/>
          </cell>
        </row>
        <row r="68">
          <cell r="C68" t="str">
            <v>T24C850000176</v>
          </cell>
          <cell r="D68" t="str">
            <v>A24C850000296</v>
          </cell>
          <cell r="E68">
            <v>2150000</v>
          </cell>
          <cell r="F68">
            <v>0</v>
          </cell>
          <cell r="G68" t="str">
            <v>Mobile Phone</v>
          </cell>
          <cell r="H68" t="str">
            <v>[1]PUMI APPROVED ATTACHED/HHP /V.GONZALEZG/ EUREKA CENCOSUD ACTIVATION</v>
          </cell>
          <cell r="I68" t="str">
            <v>Closed</v>
          </cell>
          <cell r="J68" t="str">
            <v>y.malave</v>
          </cell>
          <cell r="K68">
            <v>45320</v>
          </cell>
          <cell r="L68">
            <v>45382</v>
          </cell>
          <cell r="M68" t="str">
            <v>G1</v>
          </cell>
          <cell r="N68" t="str">
            <v>RETAIL</v>
          </cell>
          <cell r="O68" t="str">
            <v>B120</v>
          </cell>
          <cell r="P68" t="str">
            <v>SHELF MERCHANDISING</v>
          </cell>
          <cell r="Q68" t="str">
            <v>2024</v>
          </cell>
          <cell r="R68" t="str">
            <v>FZX3JE</v>
          </cell>
          <cell r="S68" t="str">
            <v>Cencosud Retail S.A.</v>
          </cell>
          <cell r="T68" t="str">
            <v/>
          </cell>
        </row>
        <row r="69">
          <cell r="C69" t="str">
            <v>T24C850000176</v>
          </cell>
          <cell r="D69" t="str">
            <v>A24C850000296</v>
          </cell>
          <cell r="E69">
            <v>22000000</v>
          </cell>
          <cell r="F69">
            <v>0</v>
          </cell>
          <cell r="G69" t="str">
            <v>Mobile Phone</v>
          </cell>
          <cell r="H69" t="str">
            <v>[1]PUMI APPROVED ATTACHED/HHP /V.GONZALEZG/ EUREKA CENCOSUD ACTIVATION</v>
          </cell>
          <cell r="I69" t="str">
            <v>Closed</v>
          </cell>
          <cell r="J69" t="str">
            <v>y.malave</v>
          </cell>
          <cell r="K69">
            <v>45320</v>
          </cell>
          <cell r="L69">
            <v>45382</v>
          </cell>
          <cell r="M69" t="str">
            <v>G1</v>
          </cell>
          <cell r="N69" t="str">
            <v>RETAIL</v>
          </cell>
          <cell r="O69" t="str">
            <v>B120</v>
          </cell>
          <cell r="P69" t="str">
            <v>SHELF MERCHANDISING</v>
          </cell>
          <cell r="Q69" t="str">
            <v>2024</v>
          </cell>
          <cell r="R69" t="str">
            <v>FZX3JE</v>
          </cell>
          <cell r="S69" t="str">
            <v>Cencosud Retail S.A.</v>
          </cell>
          <cell r="T69" t="str">
            <v/>
          </cell>
        </row>
        <row r="70">
          <cell r="C70" t="str">
            <v>T24C850000176</v>
          </cell>
          <cell r="D70" t="str">
            <v>A24C850000296</v>
          </cell>
          <cell r="E70">
            <v>0</v>
          </cell>
          <cell r="F70">
            <v>24150000</v>
          </cell>
          <cell r="G70" t="str">
            <v>Mobile Phone</v>
          </cell>
          <cell r="H70" t="str">
            <v>[1]PUMI APPROVED ATTACHED/HHP /V.GONZALEZG/ EUREKA CENCOSUD ACTIVATION</v>
          </cell>
          <cell r="I70" t="str">
            <v>Closed</v>
          </cell>
          <cell r="J70" t="str">
            <v>y.malave</v>
          </cell>
          <cell r="K70">
            <v>45320</v>
          </cell>
          <cell r="L70">
            <v>45382</v>
          </cell>
          <cell r="M70" t="str">
            <v>G1</v>
          </cell>
          <cell r="N70" t="str">
            <v>RETAIL</v>
          </cell>
          <cell r="O70" t="str">
            <v>B120</v>
          </cell>
          <cell r="P70" t="str">
            <v>SHELF MERCHANDISING</v>
          </cell>
          <cell r="Q70" t="str">
            <v>2024</v>
          </cell>
          <cell r="R70" t="str">
            <v>FZX3JE</v>
          </cell>
          <cell r="S70" t="str">
            <v>Cencosud Retail S.A.</v>
          </cell>
          <cell r="T70" t="str">
            <v/>
          </cell>
        </row>
        <row r="71">
          <cell r="C71" t="str">
            <v>T24C850000264</v>
          </cell>
          <cell r="D71" t="str">
            <v>A24C850000381</v>
          </cell>
          <cell r="E71">
            <v>1000000</v>
          </cell>
          <cell r="F71">
            <v>0</v>
          </cell>
          <cell r="G71" t="str">
            <v>Computer</v>
          </cell>
          <cell r="H71" t="str">
            <v>[3]NPC AON CAMPAIGN RETAILERS FEBRUARY &amp; MARCH</v>
          </cell>
          <cell r="I71" t="str">
            <v>Closed</v>
          </cell>
          <cell r="J71" t="str">
            <v>fernandez.r</v>
          </cell>
          <cell r="K71">
            <v>45337</v>
          </cell>
          <cell r="L71">
            <v>45443</v>
          </cell>
          <cell r="M71" t="str">
            <v>C3</v>
          </cell>
          <cell r="N71" t="str">
            <v>DIGITAL MEDIA</v>
          </cell>
          <cell r="O71" t="str">
            <v>A240</v>
          </cell>
          <cell r="P71" t="str">
            <v>SEARCH</v>
          </cell>
          <cell r="Q71" t="str">
            <v>2024</v>
          </cell>
          <cell r="R71" t="str">
            <v>FZX3JE</v>
          </cell>
          <cell r="S71" t="str">
            <v>Cencosud Retail S.A.</v>
          </cell>
          <cell r="T71" t="str">
            <v/>
          </cell>
        </row>
        <row r="72">
          <cell r="C72" t="str">
            <v>T24C850000264</v>
          </cell>
          <cell r="D72" t="str">
            <v>A24C850000381</v>
          </cell>
          <cell r="E72">
            <v>1000000</v>
          </cell>
          <cell r="F72">
            <v>0</v>
          </cell>
          <cell r="G72" t="str">
            <v>Computer</v>
          </cell>
          <cell r="H72" t="str">
            <v>[3]NPC AON CAMPAIGN RETAILERS FEBRUARY &amp; MARCH</v>
          </cell>
          <cell r="I72" t="str">
            <v>Closed</v>
          </cell>
          <cell r="J72" t="str">
            <v>fernandez.r</v>
          </cell>
          <cell r="K72">
            <v>45337</v>
          </cell>
          <cell r="L72">
            <v>45443</v>
          </cell>
          <cell r="M72" t="str">
            <v>C3</v>
          </cell>
          <cell r="N72" t="str">
            <v>DIGITAL MEDIA</v>
          </cell>
          <cell r="O72" t="str">
            <v>A240</v>
          </cell>
          <cell r="P72" t="str">
            <v>SEARCH</v>
          </cell>
          <cell r="Q72" t="str">
            <v>2024</v>
          </cell>
          <cell r="R72" t="str">
            <v>FZX3JE</v>
          </cell>
          <cell r="S72" t="str">
            <v>Cencosud Retail S.A.</v>
          </cell>
          <cell r="T72" t="str">
            <v/>
          </cell>
        </row>
        <row r="73">
          <cell r="C73" t="str">
            <v>T24C850000264</v>
          </cell>
          <cell r="D73" t="str">
            <v>A24C850000381</v>
          </cell>
          <cell r="E73">
            <v>0</v>
          </cell>
          <cell r="F73">
            <v>2000000</v>
          </cell>
          <cell r="G73" t="str">
            <v>Computer</v>
          </cell>
          <cell r="H73" t="str">
            <v>[3]NPC AON CAMPAIGN RETAILERS FEBRUARY &amp; MARCH</v>
          </cell>
          <cell r="I73" t="str">
            <v>Closed</v>
          </cell>
          <cell r="J73" t="str">
            <v>fernandez.r</v>
          </cell>
          <cell r="K73">
            <v>45337</v>
          </cell>
          <cell r="L73">
            <v>45443</v>
          </cell>
          <cell r="M73" t="str">
            <v>C3</v>
          </cell>
          <cell r="N73" t="str">
            <v>DIGITAL MEDIA</v>
          </cell>
          <cell r="O73" t="str">
            <v>A240</v>
          </cell>
          <cell r="P73" t="str">
            <v>SEARCH</v>
          </cell>
          <cell r="Q73" t="str">
            <v>2024</v>
          </cell>
          <cell r="R73" t="str">
            <v>FZX3JE</v>
          </cell>
          <cell r="S73" t="str">
            <v>Cencosud Retail S.A.</v>
          </cell>
          <cell r="T73" t="str">
            <v/>
          </cell>
        </row>
        <row r="74">
          <cell r="C74" t="str">
            <v>T24C850000272</v>
          </cell>
          <cell r="D74" t="str">
            <v>A24C850000380</v>
          </cell>
          <cell r="E74">
            <v>1500000</v>
          </cell>
          <cell r="F74">
            <v>0</v>
          </cell>
          <cell r="G74" t="str">
            <v>Mobile Phone</v>
          </cell>
          <cell r="H74" t="str">
            <v>[3]TAB AON CAMPAIGN RETAILERS FEBRUARY &amp; MARCH</v>
          </cell>
          <cell r="I74" t="str">
            <v>Closed</v>
          </cell>
          <cell r="J74" t="str">
            <v>fernandez.r</v>
          </cell>
          <cell r="K74">
            <v>45337</v>
          </cell>
          <cell r="L74">
            <v>45443</v>
          </cell>
          <cell r="M74" t="str">
            <v>G1</v>
          </cell>
          <cell r="N74" t="str">
            <v>DIGITAL MEDIA</v>
          </cell>
          <cell r="O74" t="str">
            <v>A240</v>
          </cell>
          <cell r="P74" t="str">
            <v>SEARCH</v>
          </cell>
          <cell r="Q74" t="str">
            <v>2024</v>
          </cell>
          <cell r="R74" t="str">
            <v>FZX3JE</v>
          </cell>
          <cell r="S74" t="str">
            <v>Cencosud Retail S.A.</v>
          </cell>
          <cell r="T74" t="str">
            <v/>
          </cell>
        </row>
        <row r="75">
          <cell r="C75" t="str">
            <v>T24C850000272</v>
          </cell>
          <cell r="D75" t="str">
            <v>A24C850000380</v>
          </cell>
          <cell r="E75">
            <v>2000000</v>
          </cell>
          <cell r="F75">
            <v>0</v>
          </cell>
          <cell r="G75" t="str">
            <v>Mobile Phone</v>
          </cell>
          <cell r="H75" t="str">
            <v>[3]TAB AON CAMPAIGN RETAILERS FEBRUARY &amp; MARCH</v>
          </cell>
          <cell r="I75" t="str">
            <v>Closed</v>
          </cell>
          <cell r="J75" t="str">
            <v>fernandez.r</v>
          </cell>
          <cell r="K75">
            <v>45337</v>
          </cell>
          <cell r="L75">
            <v>45443</v>
          </cell>
          <cell r="M75" t="str">
            <v>G1</v>
          </cell>
          <cell r="N75" t="str">
            <v>DIGITAL MEDIA</v>
          </cell>
          <cell r="O75" t="str">
            <v>A240</v>
          </cell>
          <cell r="P75" t="str">
            <v>SEARCH</v>
          </cell>
          <cell r="Q75" t="str">
            <v>2024</v>
          </cell>
          <cell r="R75" t="str">
            <v>FZX3JE</v>
          </cell>
          <cell r="S75" t="str">
            <v>Cencosud Retail S.A.</v>
          </cell>
          <cell r="T75" t="str">
            <v/>
          </cell>
        </row>
        <row r="76">
          <cell r="C76" t="str">
            <v>T24C850000272</v>
          </cell>
          <cell r="D76" t="str">
            <v>A24C850000380</v>
          </cell>
          <cell r="E76">
            <v>0</v>
          </cell>
          <cell r="F76">
            <v>3500000</v>
          </cell>
          <cell r="G76" t="str">
            <v>Mobile Phone</v>
          </cell>
          <cell r="H76" t="str">
            <v>[3]TAB AON CAMPAIGN RETAILERS FEBRUARY &amp; MARCH</v>
          </cell>
          <cell r="I76" t="str">
            <v>Closed</v>
          </cell>
          <cell r="J76" t="str">
            <v>fernandez.r</v>
          </cell>
          <cell r="K76">
            <v>45337</v>
          </cell>
          <cell r="L76">
            <v>45443</v>
          </cell>
          <cell r="M76" t="str">
            <v>G1</v>
          </cell>
          <cell r="N76" t="str">
            <v>DIGITAL MEDIA</v>
          </cell>
          <cell r="O76" t="str">
            <v>A240</v>
          </cell>
          <cell r="P76" t="str">
            <v>SEARCH</v>
          </cell>
          <cell r="Q76" t="str">
            <v>2024</v>
          </cell>
          <cell r="R76" t="str">
            <v>FZX3JE</v>
          </cell>
          <cell r="S76" t="str">
            <v>Cencosud Retail S.A.</v>
          </cell>
          <cell r="T76" t="str">
            <v/>
          </cell>
        </row>
        <row r="77">
          <cell r="C77" t="str">
            <v>T24C850000345</v>
          </cell>
          <cell r="D77" t="str">
            <v>A24C850000515</v>
          </cell>
          <cell r="E77">
            <v>2071109</v>
          </cell>
          <cell r="F77">
            <v>0</v>
          </cell>
          <cell r="G77" t="str">
            <v>Mobile Phone</v>
          </cell>
          <cell r="H77" t="str">
            <v>[1]HHP AON CAMPAIGN RETAILERS MARCH - PARIS</v>
          </cell>
          <cell r="I77" t="str">
            <v>Closed</v>
          </cell>
          <cell r="J77" t="str">
            <v>fernandez.r</v>
          </cell>
          <cell r="K77">
            <v>45363</v>
          </cell>
          <cell r="L77">
            <v>45443</v>
          </cell>
          <cell r="M77" t="str">
            <v>G1</v>
          </cell>
          <cell r="N77" t="str">
            <v>DIGITAL MEDIA</v>
          </cell>
          <cell r="O77" t="str">
            <v>A250</v>
          </cell>
          <cell r="P77" t="str">
            <v>DISPLAY</v>
          </cell>
          <cell r="Q77" t="str">
            <v>2024</v>
          </cell>
          <cell r="R77" t="str">
            <v>FZX3JE</v>
          </cell>
          <cell r="S77" t="str">
            <v>Cencosud Retail S.A.</v>
          </cell>
          <cell r="T77" t="str">
            <v/>
          </cell>
        </row>
        <row r="78">
          <cell r="C78" t="str">
            <v>T24C850000345</v>
          </cell>
          <cell r="D78" t="str">
            <v>A24C850000515</v>
          </cell>
          <cell r="E78">
            <v>0</v>
          </cell>
          <cell r="F78">
            <v>2071109</v>
          </cell>
          <cell r="G78" t="str">
            <v>Mobile Phone</v>
          </cell>
          <cell r="H78" t="str">
            <v>[1]HHP AON CAMPAIGN RETAILERS MARCH - PARIS</v>
          </cell>
          <cell r="I78" t="str">
            <v>Closed</v>
          </cell>
          <cell r="J78" t="str">
            <v>fernandez.r</v>
          </cell>
          <cell r="K78">
            <v>45363</v>
          </cell>
          <cell r="L78">
            <v>45443</v>
          </cell>
          <cell r="M78" t="str">
            <v>G1</v>
          </cell>
          <cell r="N78" t="str">
            <v>DIGITAL MEDIA</v>
          </cell>
          <cell r="O78" t="str">
            <v>A250</v>
          </cell>
          <cell r="P78" t="str">
            <v>DISPLAY</v>
          </cell>
          <cell r="Q78" t="str">
            <v>2024</v>
          </cell>
          <cell r="R78" t="str">
            <v>FZX3JE</v>
          </cell>
          <cell r="S78" t="str">
            <v>Cencosud Retail S.A.</v>
          </cell>
          <cell r="T78" t="str">
            <v/>
          </cell>
        </row>
        <row r="79">
          <cell r="C79" t="str">
            <v>T24C850000345</v>
          </cell>
          <cell r="D79" t="str">
            <v>A24C850000515</v>
          </cell>
          <cell r="E79">
            <v>7000000</v>
          </cell>
          <cell r="F79">
            <v>0</v>
          </cell>
          <cell r="G79" t="str">
            <v>Mobile Phone</v>
          </cell>
          <cell r="H79" t="str">
            <v>[1]HHP AON CAMPAIGN RETAILERS MARCH - PARIS</v>
          </cell>
          <cell r="I79" t="str">
            <v>Closed</v>
          </cell>
          <cell r="J79" t="str">
            <v>fernandez.r</v>
          </cell>
          <cell r="K79">
            <v>45363</v>
          </cell>
          <cell r="L79">
            <v>45443</v>
          </cell>
          <cell r="M79" t="str">
            <v>G1</v>
          </cell>
          <cell r="N79" t="str">
            <v>DIGITAL MEDIA</v>
          </cell>
          <cell r="O79" t="str">
            <v>A240</v>
          </cell>
          <cell r="P79" t="str">
            <v>SEARCH</v>
          </cell>
          <cell r="Q79" t="str">
            <v>2024</v>
          </cell>
          <cell r="R79" t="str">
            <v>FZX3JE</v>
          </cell>
          <cell r="S79" t="str">
            <v>Cencosud Retail S.A.</v>
          </cell>
          <cell r="T79" t="str">
            <v/>
          </cell>
        </row>
        <row r="80">
          <cell r="C80" t="str">
            <v>T24C850000345</v>
          </cell>
          <cell r="D80" t="str">
            <v>A24C850000515</v>
          </cell>
          <cell r="E80">
            <v>0</v>
          </cell>
          <cell r="F80">
            <v>7000000</v>
          </cell>
          <cell r="G80" t="str">
            <v>Mobile Phone</v>
          </cell>
          <cell r="H80" t="str">
            <v>[1]HHP AON CAMPAIGN RETAILERS MARCH - PARIS</v>
          </cell>
          <cell r="I80" t="str">
            <v>Closed</v>
          </cell>
          <cell r="J80" t="str">
            <v>fernandez.r</v>
          </cell>
          <cell r="K80">
            <v>45363</v>
          </cell>
          <cell r="L80">
            <v>45443</v>
          </cell>
          <cell r="M80" t="str">
            <v>G1</v>
          </cell>
          <cell r="N80" t="str">
            <v>DIGITAL MEDIA</v>
          </cell>
          <cell r="O80" t="str">
            <v>A240</v>
          </cell>
          <cell r="P80" t="str">
            <v>SEARCH</v>
          </cell>
          <cell r="Q80" t="str">
            <v>2024</v>
          </cell>
          <cell r="R80" t="str">
            <v>FZX3JE</v>
          </cell>
          <cell r="S80" t="str">
            <v>Cencosud Retail S.A.</v>
          </cell>
          <cell r="T80" t="str">
            <v/>
          </cell>
        </row>
        <row r="81">
          <cell r="C81" t="str">
            <v>T24C850000360</v>
          </cell>
          <cell r="D81" t="str">
            <v>A24C850000530</v>
          </cell>
          <cell r="E81">
            <v>2071109</v>
          </cell>
          <cell r="F81">
            <v>0</v>
          </cell>
          <cell r="G81" t="str">
            <v>Mobile Phone</v>
          </cell>
          <cell r="H81" t="str">
            <v>[1]HHP AON CAMPAIGN RETAILERS APRIL - PARIS</v>
          </cell>
          <cell r="I81" t="str">
            <v>Completed</v>
          </cell>
          <cell r="J81" t="str">
            <v>fernandez.r</v>
          </cell>
          <cell r="K81">
            <v>45383</v>
          </cell>
          <cell r="L81">
            <v>45473</v>
          </cell>
          <cell r="M81" t="str">
            <v>G1</v>
          </cell>
          <cell r="N81" t="str">
            <v>DIGITAL MEDIA</v>
          </cell>
          <cell r="O81" t="str">
            <v>A250</v>
          </cell>
          <cell r="P81" t="str">
            <v>DISPLAY</v>
          </cell>
          <cell r="Q81" t="str">
            <v>2024</v>
          </cell>
          <cell r="R81" t="str">
            <v>FZX3JE</v>
          </cell>
          <cell r="S81" t="str">
            <v>Cencosud Retail S.A.</v>
          </cell>
          <cell r="T81" t="str">
            <v/>
          </cell>
        </row>
        <row r="82">
          <cell r="C82" t="str">
            <v>T24C850000360</v>
          </cell>
          <cell r="D82" t="str">
            <v>A24C850000530</v>
          </cell>
          <cell r="E82">
            <v>7000000</v>
          </cell>
          <cell r="F82">
            <v>0</v>
          </cell>
          <cell r="G82" t="str">
            <v>Mobile Phone</v>
          </cell>
          <cell r="H82" t="str">
            <v>[1]HHP AON CAMPAIGN RETAILERS APRIL - PARIS</v>
          </cell>
          <cell r="I82" t="str">
            <v>Completed</v>
          </cell>
          <cell r="J82" t="str">
            <v>fernandez.r</v>
          </cell>
          <cell r="K82">
            <v>45383</v>
          </cell>
          <cell r="L82">
            <v>45473</v>
          </cell>
          <cell r="M82" t="str">
            <v>G1</v>
          </cell>
          <cell r="N82" t="str">
            <v>DIGITAL MEDIA</v>
          </cell>
          <cell r="O82" t="str">
            <v>A240</v>
          </cell>
          <cell r="P82" t="str">
            <v>SEARCH</v>
          </cell>
          <cell r="Q82" t="str">
            <v>2024</v>
          </cell>
          <cell r="R82" t="str">
            <v>FZX3JE</v>
          </cell>
          <cell r="S82" t="str">
            <v>Cencosud Retail S.A.</v>
          </cell>
          <cell r="T82" t="str">
            <v/>
          </cell>
        </row>
        <row r="83">
          <cell r="C83" t="str">
            <v>T24C850000363</v>
          </cell>
          <cell r="D83" t="str">
            <v>A24C850000538</v>
          </cell>
          <cell r="E83">
            <v>2071109</v>
          </cell>
          <cell r="F83">
            <v>0</v>
          </cell>
          <cell r="G83" t="str">
            <v>Mobile Phone</v>
          </cell>
          <cell r="H83" t="str">
            <v>[1]HHP AON CAMPAIGN RETAILERS MAY - PARIS</v>
          </cell>
          <cell r="I83" t="str">
            <v>Completed</v>
          </cell>
          <cell r="J83" t="str">
            <v>fernandez.r</v>
          </cell>
          <cell r="K83">
            <v>45413</v>
          </cell>
          <cell r="L83">
            <v>45504</v>
          </cell>
          <cell r="M83" t="str">
            <v>G1</v>
          </cell>
          <cell r="N83" t="str">
            <v>DIGITAL MEDIA</v>
          </cell>
          <cell r="O83" t="str">
            <v>A250</v>
          </cell>
          <cell r="P83" t="str">
            <v>DISPLAY</v>
          </cell>
          <cell r="Q83" t="str">
            <v>2024</v>
          </cell>
          <cell r="R83" t="str">
            <v>FZX3JE</v>
          </cell>
          <cell r="S83" t="str">
            <v>Cencosud Retail S.A.</v>
          </cell>
          <cell r="T83" t="str">
            <v/>
          </cell>
        </row>
        <row r="84">
          <cell r="C84" t="str">
            <v>T24C850000363</v>
          </cell>
          <cell r="D84" t="str">
            <v>A24C850000538</v>
          </cell>
          <cell r="E84">
            <v>7000000</v>
          </cell>
          <cell r="F84">
            <v>0</v>
          </cell>
          <cell r="G84" t="str">
            <v>Mobile Phone</v>
          </cell>
          <cell r="H84" t="str">
            <v>[1]HHP AON CAMPAIGN RETAILERS MAY - PARIS</v>
          </cell>
          <cell r="I84" t="str">
            <v>Completed</v>
          </cell>
          <cell r="J84" t="str">
            <v>fernandez.r</v>
          </cell>
          <cell r="K84">
            <v>45413</v>
          </cell>
          <cell r="L84">
            <v>45504</v>
          </cell>
          <cell r="M84" t="str">
            <v>G1</v>
          </cell>
          <cell r="N84" t="str">
            <v>DIGITAL MEDIA</v>
          </cell>
          <cell r="O84" t="str">
            <v>A240</v>
          </cell>
          <cell r="P84" t="str">
            <v>SEARCH</v>
          </cell>
          <cell r="Q84" t="str">
            <v>2024</v>
          </cell>
          <cell r="R84" t="str">
            <v>FZX3JE</v>
          </cell>
          <cell r="S84" t="str">
            <v>Cencosud Retail S.A.</v>
          </cell>
          <cell r="T84" t="str">
            <v/>
          </cell>
        </row>
        <row r="85">
          <cell r="C85" t="str">
            <v>T24C850000403</v>
          </cell>
          <cell r="D85" t="str">
            <v>A24C850000621</v>
          </cell>
          <cell r="E85">
            <v>4000000</v>
          </cell>
          <cell r="F85">
            <v>0</v>
          </cell>
          <cell r="G85" t="str">
            <v>Mobile Phone</v>
          </cell>
          <cell r="H85" t="str">
            <v>[1]RETAIL -  PARIS - WEAR - MARCH</v>
          </cell>
          <cell r="I85" t="str">
            <v>Completed</v>
          </cell>
          <cell r="J85" t="str">
            <v>fernandez.r</v>
          </cell>
          <cell r="K85">
            <v>45378</v>
          </cell>
          <cell r="L85">
            <v>45443</v>
          </cell>
          <cell r="M85" t="str">
            <v>G1</v>
          </cell>
          <cell r="N85" t="str">
            <v>DIGITAL MEDIA</v>
          </cell>
          <cell r="O85" t="str">
            <v>A240</v>
          </cell>
          <cell r="P85" t="str">
            <v>SEARCH</v>
          </cell>
          <cell r="Q85" t="str">
            <v>2024</v>
          </cell>
          <cell r="R85" t="str">
            <v>FZX3JE</v>
          </cell>
          <cell r="S85" t="str">
            <v>Cencosud Retail S.A.</v>
          </cell>
          <cell r="T85" t="str">
            <v/>
          </cell>
        </row>
        <row r="86">
          <cell r="C86" t="str">
            <v>T24C850000403</v>
          </cell>
          <cell r="D86" t="str">
            <v>A24C850000621</v>
          </cell>
          <cell r="E86">
            <v>0</v>
          </cell>
          <cell r="F86">
            <v>1500000</v>
          </cell>
          <cell r="G86" t="str">
            <v>Mobile Phone</v>
          </cell>
          <cell r="H86" t="str">
            <v>[1]RETAIL -  PARIS - WEAR - MARCH</v>
          </cell>
          <cell r="I86" t="str">
            <v>Completed</v>
          </cell>
          <cell r="J86" t="str">
            <v>fernandez.r</v>
          </cell>
          <cell r="K86">
            <v>45378</v>
          </cell>
          <cell r="L86">
            <v>45443</v>
          </cell>
          <cell r="M86" t="str">
            <v>G1</v>
          </cell>
          <cell r="N86" t="str">
            <v>DIGITAL MEDIA</v>
          </cell>
          <cell r="O86" t="str">
            <v>A240</v>
          </cell>
          <cell r="P86" t="str">
            <v>SEARCH</v>
          </cell>
          <cell r="Q86" t="str">
            <v>2024</v>
          </cell>
          <cell r="R86" t="str">
            <v>FZX3JE</v>
          </cell>
          <cell r="S86" t="str">
            <v>Cencosud Retail S.A.</v>
          </cell>
          <cell r="T86" t="str">
            <v/>
          </cell>
        </row>
        <row r="87">
          <cell r="C87" t="str">
            <v>T24C850000403</v>
          </cell>
          <cell r="D87" t="str">
            <v>A24C850000621</v>
          </cell>
          <cell r="E87">
            <v>2000000</v>
          </cell>
          <cell r="F87">
            <v>0</v>
          </cell>
          <cell r="G87" t="str">
            <v>Mobile Phone</v>
          </cell>
          <cell r="H87" t="str">
            <v>[1]RETAIL -  PARIS - WEAR - MARCH</v>
          </cell>
          <cell r="I87" t="str">
            <v>Completed</v>
          </cell>
          <cell r="J87" t="str">
            <v>fernandez.r</v>
          </cell>
          <cell r="K87">
            <v>45378</v>
          </cell>
          <cell r="L87">
            <v>45443</v>
          </cell>
          <cell r="M87" t="str">
            <v>G1</v>
          </cell>
          <cell r="N87" t="str">
            <v>DIGITAL MEDIA</v>
          </cell>
          <cell r="O87" t="str">
            <v>A250</v>
          </cell>
          <cell r="P87" t="str">
            <v>DISPLAY</v>
          </cell>
          <cell r="Q87" t="str">
            <v>2024</v>
          </cell>
          <cell r="R87" t="str">
            <v>FZX3JE</v>
          </cell>
          <cell r="S87" t="str">
            <v>Cencosud Retail S.A.</v>
          </cell>
          <cell r="T87" t="str">
            <v/>
          </cell>
        </row>
        <row r="88">
          <cell r="C88" t="str">
            <v>T24C850000510</v>
          </cell>
          <cell r="D88" t="str">
            <v>A24C850000712</v>
          </cell>
          <cell r="E88">
            <v>4000000</v>
          </cell>
          <cell r="F88">
            <v>0</v>
          </cell>
          <cell r="G88" t="str">
            <v>Mobile Phone</v>
          </cell>
          <cell r="H88" t="str">
            <v>[2]A SERIES CAMPAIGN - RETAILERS - APRIL</v>
          </cell>
          <cell r="I88" t="str">
            <v>Completed</v>
          </cell>
          <cell r="J88" t="str">
            <v>fernandez.r</v>
          </cell>
          <cell r="K88">
            <v>45385</v>
          </cell>
          <cell r="L88">
            <v>45504</v>
          </cell>
          <cell r="M88" t="str">
            <v>G1</v>
          </cell>
          <cell r="N88" t="str">
            <v>DIGITAL MEDIA</v>
          </cell>
          <cell r="O88" t="str">
            <v>A250</v>
          </cell>
          <cell r="P88" t="str">
            <v>DISPLAY</v>
          </cell>
          <cell r="Q88" t="str">
            <v>2024</v>
          </cell>
          <cell r="R88" t="str">
            <v>FZX3JE</v>
          </cell>
          <cell r="S88" t="str">
            <v>Cencosud Retail S.A.</v>
          </cell>
          <cell r="T88" t="str">
            <v/>
          </cell>
        </row>
        <row r="89">
          <cell r="C89" t="str">
            <v>T24C850000510</v>
          </cell>
          <cell r="D89" t="str">
            <v>A24C850000712</v>
          </cell>
          <cell r="E89">
            <v>3000000</v>
          </cell>
          <cell r="F89">
            <v>0</v>
          </cell>
          <cell r="G89" t="str">
            <v>Mobile Phone</v>
          </cell>
          <cell r="H89" t="str">
            <v>[2]A SERIES CAMPAIGN - RETAILERS - APRIL</v>
          </cell>
          <cell r="I89" t="str">
            <v>Completed</v>
          </cell>
          <cell r="J89" t="str">
            <v>fernandez.r</v>
          </cell>
          <cell r="K89">
            <v>45385</v>
          </cell>
          <cell r="L89">
            <v>45504</v>
          </cell>
          <cell r="M89" t="str">
            <v>G1</v>
          </cell>
          <cell r="N89" t="str">
            <v>DIGITAL MEDIA</v>
          </cell>
          <cell r="O89" t="str">
            <v>A230</v>
          </cell>
          <cell r="P89" t="str">
            <v>SOCIAL ADS</v>
          </cell>
          <cell r="Q89" t="str">
            <v>2024</v>
          </cell>
          <cell r="R89" t="str">
            <v>FZX3JE</v>
          </cell>
          <cell r="S89" t="str">
            <v>Cencosud Retail S.A.</v>
          </cell>
          <cell r="T89" t="str">
            <v/>
          </cell>
        </row>
        <row r="90">
          <cell r="C90" t="str">
            <v>T24C850000510</v>
          </cell>
          <cell r="D90" t="str">
            <v>A24C850000712</v>
          </cell>
          <cell r="E90">
            <v>7000000</v>
          </cell>
          <cell r="F90">
            <v>0</v>
          </cell>
          <cell r="G90" t="str">
            <v>Mobile Phone</v>
          </cell>
          <cell r="H90" t="str">
            <v>[2]A SERIES CAMPAIGN - RETAILERS - APRIL</v>
          </cell>
          <cell r="I90" t="str">
            <v>Completed</v>
          </cell>
          <cell r="J90" t="str">
            <v>fernandez.r</v>
          </cell>
          <cell r="K90">
            <v>45385</v>
          </cell>
          <cell r="L90">
            <v>45504</v>
          </cell>
          <cell r="M90" t="str">
            <v>G1</v>
          </cell>
          <cell r="N90" t="str">
            <v>DIGITAL MEDIA</v>
          </cell>
          <cell r="O90" t="str">
            <v>A240</v>
          </cell>
          <cell r="P90" t="str">
            <v>SEARCH</v>
          </cell>
          <cell r="Q90" t="str">
            <v>2024</v>
          </cell>
          <cell r="R90" t="str">
            <v>FZX3JE</v>
          </cell>
          <cell r="S90" t="str">
            <v>Cencosud Retail S.A.</v>
          </cell>
          <cell r="T90" t="str">
            <v/>
          </cell>
        </row>
        <row r="91">
          <cell r="C91" t="str">
            <v>T24C850000561</v>
          </cell>
          <cell r="D91" t="str">
            <v>A24C850000791</v>
          </cell>
          <cell r="E91">
            <v>5000000</v>
          </cell>
          <cell r="F91">
            <v>0</v>
          </cell>
          <cell r="G91" t="str">
            <v>Mobile Phone</v>
          </cell>
          <cell r="H91" t="str">
            <v>[1]PP_TAB_Q2_ABRIL</v>
          </cell>
          <cell r="I91" t="str">
            <v>Closed</v>
          </cell>
          <cell r="J91" t="str">
            <v>j.albornoz</v>
          </cell>
          <cell r="K91">
            <v>45408</v>
          </cell>
          <cell r="L91">
            <v>45473</v>
          </cell>
          <cell r="M91" t="str">
            <v>G1</v>
          </cell>
          <cell r="N91" t="str">
            <v>DIGITAL MEDIA</v>
          </cell>
          <cell r="O91" t="str">
            <v>A250</v>
          </cell>
          <cell r="P91" t="str">
            <v>DISPLAY</v>
          </cell>
          <cell r="Q91" t="str">
            <v>2024</v>
          </cell>
          <cell r="R91" t="str">
            <v>FZX3JE</v>
          </cell>
          <cell r="S91" t="str">
            <v>Cencosud Retail S.A.</v>
          </cell>
          <cell r="T91" t="str">
            <v/>
          </cell>
        </row>
        <row r="92">
          <cell r="C92" t="str">
            <v>T24C850000561</v>
          </cell>
          <cell r="D92" t="str">
            <v>A24C850000791</v>
          </cell>
          <cell r="E92">
            <v>0</v>
          </cell>
          <cell r="F92">
            <v>5000000</v>
          </cell>
          <cell r="G92" t="str">
            <v>Mobile Phone</v>
          </cell>
          <cell r="H92" t="str">
            <v>[1]PP_TAB_Q2_ABRIL</v>
          </cell>
          <cell r="I92" t="str">
            <v>Closed</v>
          </cell>
          <cell r="J92" t="str">
            <v>j.albornoz</v>
          </cell>
          <cell r="K92">
            <v>45408</v>
          </cell>
          <cell r="L92">
            <v>45473</v>
          </cell>
          <cell r="M92" t="str">
            <v>G1</v>
          </cell>
          <cell r="N92" t="str">
            <v>DIGITAL MEDIA</v>
          </cell>
          <cell r="O92" t="str">
            <v>A250</v>
          </cell>
          <cell r="P92" t="str">
            <v>DISPLAY</v>
          </cell>
          <cell r="Q92" t="str">
            <v>2024</v>
          </cell>
          <cell r="R92" t="str">
            <v>FZX3JE</v>
          </cell>
          <cell r="S92" t="str">
            <v>Cencosud Retail S.A.</v>
          </cell>
          <cell r="T92" t="str">
            <v/>
          </cell>
        </row>
        <row r="93">
          <cell r="C93" t="str">
            <v>T24C850000561</v>
          </cell>
          <cell r="D93" t="str">
            <v>A24C850000791</v>
          </cell>
          <cell r="E93">
            <v>5000000</v>
          </cell>
          <cell r="F93">
            <v>0</v>
          </cell>
          <cell r="G93" t="str">
            <v>Mobile Phone</v>
          </cell>
          <cell r="H93" t="str">
            <v>[1]PP_TAB_Q2_ABRIL</v>
          </cell>
          <cell r="I93" t="str">
            <v>Closed</v>
          </cell>
          <cell r="J93" t="str">
            <v>j.albornoz</v>
          </cell>
          <cell r="K93">
            <v>45408</v>
          </cell>
          <cell r="L93">
            <v>45473</v>
          </cell>
          <cell r="M93" t="str">
            <v>G1</v>
          </cell>
          <cell r="N93" t="str">
            <v>DIGITAL MEDIA</v>
          </cell>
          <cell r="O93" t="str">
            <v>A240</v>
          </cell>
          <cell r="P93" t="str">
            <v>SEARCH</v>
          </cell>
          <cell r="Q93" t="str">
            <v>2024</v>
          </cell>
          <cell r="R93" t="str">
            <v>FZX3JE</v>
          </cell>
          <cell r="S93" t="str">
            <v>Cencosud Retail S.A.</v>
          </cell>
          <cell r="T93" t="str">
            <v/>
          </cell>
        </row>
        <row r="94">
          <cell r="C94" t="str">
            <v>T24C850000561</v>
          </cell>
          <cell r="D94" t="str">
            <v>A24C850000791</v>
          </cell>
          <cell r="E94">
            <v>0</v>
          </cell>
          <cell r="F94">
            <v>5000000</v>
          </cell>
          <cell r="G94" t="str">
            <v>Mobile Phone</v>
          </cell>
          <cell r="H94" t="str">
            <v>[1]PP_TAB_Q2_ABRIL</v>
          </cell>
          <cell r="I94" t="str">
            <v>Closed</v>
          </cell>
          <cell r="J94" t="str">
            <v>j.albornoz</v>
          </cell>
          <cell r="K94">
            <v>45408</v>
          </cell>
          <cell r="L94">
            <v>45473</v>
          </cell>
          <cell r="M94" t="str">
            <v>G1</v>
          </cell>
          <cell r="N94" t="str">
            <v>DIGITAL MEDIA</v>
          </cell>
          <cell r="O94" t="str">
            <v>A240</v>
          </cell>
          <cell r="P94" t="str">
            <v>SEARCH</v>
          </cell>
          <cell r="Q94" t="str">
            <v>2024</v>
          </cell>
          <cell r="R94" t="str">
            <v>FZX3JE</v>
          </cell>
          <cell r="S94" t="str">
            <v>Cencosud Retail S.A.</v>
          </cell>
          <cell r="T94" t="str">
            <v/>
          </cell>
        </row>
        <row r="95">
          <cell r="C95" t="str">
            <v>T24C850000611</v>
          </cell>
          <cell r="D95" t="str">
            <v>A24C850000882</v>
          </cell>
          <cell r="E95">
            <v>1000000</v>
          </cell>
          <cell r="F95">
            <v>0</v>
          </cell>
          <cell r="G95" t="str">
            <v>Mobile Phone</v>
          </cell>
          <cell r="H95" t="str">
            <v>[2]TAB AON CAMPAIGN RETAILERS JUNE</v>
          </cell>
          <cell r="I95" t="str">
            <v>Completed</v>
          </cell>
          <cell r="J95" t="str">
            <v>fernandez.r</v>
          </cell>
          <cell r="K95">
            <v>45444</v>
          </cell>
          <cell r="L95">
            <v>45535</v>
          </cell>
          <cell r="M95" t="str">
            <v>G1</v>
          </cell>
          <cell r="N95" t="str">
            <v>DIGITAL MEDIA</v>
          </cell>
          <cell r="O95" t="str">
            <v>A250</v>
          </cell>
          <cell r="P95" t="str">
            <v>DISPLAY</v>
          </cell>
          <cell r="Q95" t="str">
            <v>2024</v>
          </cell>
          <cell r="R95" t="str">
            <v>FZX3JE</v>
          </cell>
          <cell r="S95" t="str">
            <v>Cencosud Retail S.A.</v>
          </cell>
          <cell r="T95" t="str">
            <v/>
          </cell>
        </row>
        <row r="96">
          <cell r="C96" t="str">
            <v>T24C850000611</v>
          </cell>
          <cell r="D96" t="str">
            <v>A24C850000882</v>
          </cell>
          <cell r="E96">
            <v>2000000</v>
          </cell>
          <cell r="F96">
            <v>0</v>
          </cell>
          <cell r="G96" t="str">
            <v>Mobile Phone</v>
          </cell>
          <cell r="H96" t="str">
            <v>[2]TAB AON CAMPAIGN RETAILERS JUNE</v>
          </cell>
          <cell r="I96" t="str">
            <v>Completed</v>
          </cell>
          <cell r="J96" t="str">
            <v>fernandez.r</v>
          </cell>
          <cell r="K96">
            <v>45444</v>
          </cell>
          <cell r="L96">
            <v>45535</v>
          </cell>
          <cell r="M96" t="str">
            <v>G1</v>
          </cell>
          <cell r="N96" t="str">
            <v>DIGITAL MEDIA</v>
          </cell>
          <cell r="O96" t="str">
            <v>A240</v>
          </cell>
          <cell r="P96" t="str">
            <v>SEARCH</v>
          </cell>
          <cell r="Q96" t="str">
            <v>2024</v>
          </cell>
          <cell r="R96" t="str">
            <v>FZX3JE</v>
          </cell>
          <cell r="S96" t="str">
            <v>Cencosud Retail S.A.</v>
          </cell>
          <cell r="T96" t="str">
            <v/>
          </cell>
        </row>
        <row r="97">
          <cell r="C97" t="str">
            <v>T24C850000615</v>
          </cell>
          <cell r="D97" t="str">
            <v>A24C850000872</v>
          </cell>
          <cell r="E97">
            <v>3000000</v>
          </cell>
          <cell r="F97">
            <v>0</v>
          </cell>
          <cell r="G97" t="str">
            <v>Mobile Phone</v>
          </cell>
          <cell r="H97" t="str">
            <v>[1]HHP AON CAMPAIGN RETAILERS JUNE - PARIS</v>
          </cell>
          <cell r="I97" t="str">
            <v>Completed</v>
          </cell>
          <cell r="J97" t="str">
            <v>fernandez.r</v>
          </cell>
          <cell r="K97">
            <v>45444</v>
          </cell>
          <cell r="L97">
            <v>45535</v>
          </cell>
          <cell r="M97" t="str">
            <v>G1</v>
          </cell>
          <cell r="N97" t="str">
            <v>DIGITAL MEDIA</v>
          </cell>
          <cell r="O97" t="str">
            <v>A250</v>
          </cell>
          <cell r="P97" t="str">
            <v>DISPLAY</v>
          </cell>
          <cell r="Q97" t="str">
            <v>2024</v>
          </cell>
          <cell r="R97" t="str">
            <v>FZX3JE</v>
          </cell>
          <cell r="S97" t="str">
            <v>Cencosud Retail S.A.</v>
          </cell>
          <cell r="T97" t="str">
            <v/>
          </cell>
        </row>
        <row r="98">
          <cell r="C98" t="str">
            <v>T24C850000615</v>
          </cell>
          <cell r="D98" t="str">
            <v>A24C850000872</v>
          </cell>
          <cell r="E98">
            <v>5300000</v>
          </cell>
          <cell r="F98">
            <v>0</v>
          </cell>
          <cell r="G98" t="str">
            <v>Mobile Phone</v>
          </cell>
          <cell r="H98" t="str">
            <v>[1]HHP AON CAMPAIGN RETAILERS JUNE - PARIS</v>
          </cell>
          <cell r="I98" t="str">
            <v>Completed</v>
          </cell>
          <cell r="J98" t="str">
            <v>fernandez.r</v>
          </cell>
          <cell r="K98">
            <v>45444</v>
          </cell>
          <cell r="L98">
            <v>45535</v>
          </cell>
          <cell r="M98" t="str">
            <v>G1</v>
          </cell>
          <cell r="N98" t="str">
            <v>DIGITAL MEDIA</v>
          </cell>
          <cell r="O98" t="str">
            <v>A240</v>
          </cell>
          <cell r="P98" t="str">
            <v>SEARCH</v>
          </cell>
          <cell r="Q98" t="str">
            <v>2024</v>
          </cell>
          <cell r="R98" t="str">
            <v>FZX3JE</v>
          </cell>
          <cell r="S98" t="str">
            <v>Cencosud Retail S.A.</v>
          </cell>
          <cell r="T98" t="str">
            <v/>
          </cell>
        </row>
        <row r="99">
          <cell r="C99" t="str">
            <v>T24C850000629</v>
          </cell>
          <cell r="D99" t="str">
            <v>A24C850000877</v>
          </cell>
          <cell r="E99">
            <v>3000000</v>
          </cell>
          <cell r="F99">
            <v>0</v>
          </cell>
          <cell r="G99" t="str">
            <v>Computer</v>
          </cell>
          <cell r="H99" t="str">
            <v>[2]NPC AON CAMPAIGN RETAILERS MAY</v>
          </cell>
          <cell r="I99" t="str">
            <v>Completed</v>
          </cell>
          <cell r="J99" t="str">
            <v>fernandez.r</v>
          </cell>
          <cell r="K99">
            <v>45427</v>
          </cell>
          <cell r="L99">
            <v>45535</v>
          </cell>
          <cell r="M99" t="str">
            <v>C3</v>
          </cell>
          <cell r="N99" t="str">
            <v>DIGITAL MEDIA</v>
          </cell>
          <cell r="O99" t="str">
            <v>A250</v>
          </cell>
          <cell r="P99" t="str">
            <v>DISPLAY</v>
          </cell>
          <cell r="Q99" t="str">
            <v>2024</v>
          </cell>
          <cell r="R99" t="str">
            <v>FZX3JE</v>
          </cell>
          <cell r="S99" t="str">
            <v>Cencosud Retail S.A.</v>
          </cell>
          <cell r="T99" t="str">
            <v/>
          </cell>
        </row>
        <row r="100">
          <cell r="C100" t="str">
            <v>T24C850000629</v>
          </cell>
          <cell r="D100" t="str">
            <v>A24C850000877</v>
          </cell>
          <cell r="E100">
            <v>4000000</v>
          </cell>
          <cell r="F100">
            <v>0</v>
          </cell>
          <cell r="G100" t="str">
            <v>Computer</v>
          </cell>
          <cell r="H100" t="str">
            <v>[2]NPC AON CAMPAIGN RETAILERS MAY</v>
          </cell>
          <cell r="I100" t="str">
            <v>Completed</v>
          </cell>
          <cell r="J100" t="str">
            <v>fernandez.r</v>
          </cell>
          <cell r="K100">
            <v>45427</v>
          </cell>
          <cell r="L100">
            <v>45535</v>
          </cell>
          <cell r="M100" t="str">
            <v>C3</v>
          </cell>
          <cell r="N100" t="str">
            <v>DIGITAL MEDIA</v>
          </cell>
          <cell r="O100" t="str">
            <v>A240</v>
          </cell>
          <cell r="P100" t="str">
            <v>SEARCH</v>
          </cell>
          <cell r="Q100" t="str">
            <v>2024</v>
          </cell>
          <cell r="R100" t="str">
            <v>FZX3JE</v>
          </cell>
          <cell r="S100" t="str">
            <v>Cencosud Retail S.A.</v>
          </cell>
          <cell r="T100" t="str">
            <v/>
          </cell>
        </row>
        <row r="101">
          <cell r="C101" t="str">
            <v>T24C850000646</v>
          </cell>
          <cell r="D101" t="str">
            <v>A24C850000881</v>
          </cell>
          <cell r="E101">
            <v>2000000</v>
          </cell>
          <cell r="F101">
            <v>0</v>
          </cell>
          <cell r="G101" t="str">
            <v>Mobile Phone</v>
          </cell>
          <cell r="H101" t="str">
            <v>[2]WEAR - RETAIL AON CAMPAIGN  MAY</v>
          </cell>
          <cell r="I101" t="str">
            <v>Completed</v>
          </cell>
          <cell r="J101" t="str">
            <v>fernandez.r</v>
          </cell>
          <cell r="K101">
            <v>45437</v>
          </cell>
          <cell r="L101">
            <v>45535</v>
          </cell>
          <cell r="M101" t="str">
            <v>G1</v>
          </cell>
          <cell r="N101" t="str">
            <v>DIGITAL MEDIA</v>
          </cell>
          <cell r="O101" t="str">
            <v>A240</v>
          </cell>
          <cell r="P101" t="str">
            <v>SEARCH</v>
          </cell>
          <cell r="Q101" t="str">
            <v>2024</v>
          </cell>
          <cell r="R101" t="str">
            <v>FZX3JE</v>
          </cell>
          <cell r="S101" t="str">
            <v>Cencosud Retail S.A.</v>
          </cell>
          <cell r="T101" t="str">
            <v/>
          </cell>
        </row>
        <row r="102">
          <cell r="C102" t="str">
            <v>T24C850000676</v>
          </cell>
          <cell r="D102" t="str">
            <v>A24C850000931</v>
          </cell>
          <cell r="E102">
            <v>1000000</v>
          </cell>
          <cell r="F102">
            <v>0</v>
          </cell>
          <cell r="G102" t="str">
            <v>Mobile Phone</v>
          </cell>
          <cell r="H102" t="str">
            <v>[3]PP TAB_MAY_AON</v>
          </cell>
          <cell r="I102" t="str">
            <v>Completed</v>
          </cell>
          <cell r="J102" t="str">
            <v>j.albornoz</v>
          </cell>
          <cell r="K102">
            <v>45442</v>
          </cell>
          <cell r="L102">
            <v>45473</v>
          </cell>
          <cell r="M102" t="str">
            <v>G1</v>
          </cell>
          <cell r="N102" t="str">
            <v>DIGITAL MEDIA</v>
          </cell>
          <cell r="O102" t="str">
            <v>A250</v>
          </cell>
          <cell r="P102" t="str">
            <v>DISPLAY</v>
          </cell>
          <cell r="Q102" t="str">
            <v>2024</v>
          </cell>
          <cell r="R102" t="str">
            <v>FZX3JE</v>
          </cell>
          <cell r="S102" t="str">
            <v>Cencosud Retail S.A.</v>
          </cell>
          <cell r="T102" t="str">
            <v/>
          </cell>
        </row>
        <row r="103">
          <cell r="C103" t="str">
            <v>T24C850000676</v>
          </cell>
          <cell r="D103" t="str">
            <v>A24C850000931</v>
          </cell>
          <cell r="E103">
            <v>2000000</v>
          </cell>
          <cell r="F103">
            <v>0</v>
          </cell>
          <cell r="G103" t="str">
            <v>Mobile Phone</v>
          </cell>
          <cell r="H103" t="str">
            <v>[3]PP TAB_MAY_AON</v>
          </cell>
          <cell r="I103" t="str">
            <v>Completed</v>
          </cell>
          <cell r="J103" t="str">
            <v>j.albornoz</v>
          </cell>
          <cell r="K103">
            <v>45442</v>
          </cell>
          <cell r="L103">
            <v>45473</v>
          </cell>
          <cell r="M103" t="str">
            <v>G1</v>
          </cell>
          <cell r="N103" t="str">
            <v>DIGITAL MEDIA</v>
          </cell>
          <cell r="O103" t="str">
            <v>A240</v>
          </cell>
          <cell r="P103" t="str">
            <v>SEARCH</v>
          </cell>
          <cell r="Q103" t="str">
            <v>2024</v>
          </cell>
          <cell r="R103" t="str">
            <v>FZX3JE</v>
          </cell>
          <cell r="S103" t="str">
            <v>Cencosud Retail S.A.</v>
          </cell>
          <cell r="T103" t="str">
            <v/>
          </cell>
        </row>
        <row r="104">
          <cell r="C104" t="str">
            <v>T24C850000802</v>
          </cell>
          <cell r="D104" t="str">
            <v>A24C850001114</v>
          </cell>
          <cell r="E104">
            <v>4000000</v>
          </cell>
          <cell r="F104">
            <v>0</v>
          </cell>
          <cell r="G104" t="str">
            <v>Mobile Phone</v>
          </cell>
          <cell r="H104" t="str">
            <v>[2]HHP S24 SUSTAIN CAMPAIGN RETAIL A 2024</v>
          </cell>
          <cell r="I104" t="str">
            <v>Completed</v>
          </cell>
          <cell r="J104" t="str">
            <v>fernandez.r</v>
          </cell>
          <cell r="K104">
            <v>45473</v>
          </cell>
          <cell r="L104">
            <v>45565</v>
          </cell>
          <cell r="M104" t="str">
            <v>G1</v>
          </cell>
          <cell r="N104" t="str">
            <v>DIGITAL MEDIA</v>
          </cell>
          <cell r="O104" t="str">
            <v>A240</v>
          </cell>
          <cell r="P104" t="str">
            <v>SEARCH</v>
          </cell>
          <cell r="Q104" t="str">
            <v>2024</v>
          </cell>
          <cell r="R104" t="str">
            <v>FZX3JE</v>
          </cell>
          <cell r="S104" t="str">
            <v>Cencosud Retail S.A.</v>
          </cell>
          <cell r="T104" t="str">
            <v/>
          </cell>
        </row>
        <row r="105">
          <cell r="C105" t="str">
            <v>T24C850000802</v>
          </cell>
          <cell r="D105" t="str">
            <v>A24C850001114</v>
          </cell>
          <cell r="E105">
            <v>3500000</v>
          </cell>
          <cell r="F105">
            <v>0</v>
          </cell>
          <cell r="G105" t="str">
            <v>Mobile Phone</v>
          </cell>
          <cell r="H105" t="str">
            <v>[2]HHP S24 SUSTAIN CAMPAIGN RETAIL A 2024</v>
          </cell>
          <cell r="I105" t="str">
            <v>Completed</v>
          </cell>
          <cell r="J105" t="str">
            <v>fernandez.r</v>
          </cell>
          <cell r="K105">
            <v>45473</v>
          </cell>
          <cell r="L105">
            <v>45565</v>
          </cell>
          <cell r="M105" t="str">
            <v>G1</v>
          </cell>
          <cell r="N105" t="str">
            <v>DIGITAL MEDIA</v>
          </cell>
          <cell r="O105" t="str">
            <v>A230</v>
          </cell>
          <cell r="P105" t="str">
            <v>SOCIAL ADS</v>
          </cell>
          <cell r="Q105" t="str">
            <v>2024</v>
          </cell>
          <cell r="R105" t="str">
            <v>FZX3JE</v>
          </cell>
          <cell r="S105" t="str">
            <v>Cencosud Retail S.A.</v>
          </cell>
          <cell r="T105" t="str">
            <v/>
          </cell>
        </row>
        <row r="106">
          <cell r="C106" t="str">
            <v>T24C850000807</v>
          </cell>
          <cell r="D106" t="str">
            <v>A24C850001111</v>
          </cell>
          <cell r="E106">
            <v>5000000</v>
          </cell>
          <cell r="F106">
            <v>0</v>
          </cell>
          <cell r="G106" t="str">
            <v>Mobile Phone</v>
          </cell>
          <cell r="H106" t="str">
            <v>[2]HHP AON BOOST CAMPAIGN RETAIL A JUNE</v>
          </cell>
          <cell r="I106" t="str">
            <v>Completed</v>
          </cell>
          <cell r="J106" t="str">
            <v>fernandez.r</v>
          </cell>
          <cell r="K106">
            <v>45473</v>
          </cell>
          <cell r="L106">
            <v>45565</v>
          </cell>
          <cell r="M106" t="str">
            <v>G1</v>
          </cell>
          <cell r="N106" t="str">
            <v>DIGITAL MEDIA</v>
          </cell>
          <cell r="O106" t="str">
            <v>A240</v>
          </cell>
          <cell r="P106" t="str">
            <v>SEARCH</v>
          </cell>
          <cell r="Q106" t="str">
            <v>2024</v>
          </cell>
          <cell r="R106" t="str">
            <v>FZX3JE</v>
          </cell>
          <cell r="S106" t="str">
            <v>Cencosud Retail S.A.</v>
          </cell>
          <cell r="T106" t="str">
            <v/>
          </cell>
        </row>
        <row r="107">
          <cell r="C107" t="str">
            <v>T24C850000807</v>
          </cell>
          <cell r="D107" t="str">
            <v>A24C850001111</v>
          </cell>
          <cell r="E107">
            <v>5000000</v>
          </cell>
          <cell r="F107">
            <v>0</v>
          </cell>
          <cell r="G107" t="str">
            <v>Mobile Phone</v>
          </cell>
          <cell r="H107" t="str">
            <v>[2]HHP AON BOOST CAMPAIGN RETAIL A JUNE</v>
          </cell>
          <cell r="I107" t="str">
            <v>Completed</v>
          </cell>
          <cell r="J107" t="str">
            <v>fernandez.r</v>
          </cell>
          <cell r="K107">
            <v>45473</v>
          </cell>
          <cell r="L107">
            <v>45565</v>
          </cell>
          <cell r="M107" t="str">
            <v>G1</v>
          </cell>
          <cell r="N107" t="str">
            <v>DIGITAL MEDIA</v>
          </cell>
          <cell r="O107" t="str">
            <v>A230</v>
          </cell>
          <cell r="P107" t="str">
            <v>SOCIAL ADS</v>
          </cell>
          <cell r="Q107" t="str">
            <v>2024</v>
          </cell>
          <cell r="R107" t="str">
            <v>FZX3JE</v>
          </cell>
          <cell r="S107" t="str">
            <v>Cencosud Retail S.A.</v>
          </cell>
          <cell r="T107" t="str">
            <v/>
          </cell>
        </row>
        <row r="108">
          <cell r="C108" t="str">
            <v>T24C850000874</v>
          </cell>
          <cell r="D108" t="str">
            <v>A24C850001148</v>
          </cell>
          <cell r="E108">
            <v>2000000</v>
          </cell>
          <cell r="F108">
            <v>0</v>
          </cell>
          <cell r="G108" t="str">
            <v>Mobile Phone</v>
          </cell>
          <cell r="H108" t="str">
            <v>[1]HHP - AON CAMPAIGN - JULY - PARIS</v>
          </cell>
          <cell r="I108" t="str">
            <v>Completed</v>
          </cell>
          <cell r="J108" t="str">
            <v>fernandez.r</v>
          </cell>
          <cell r="K108">
            <v>45485</v>
          </cell>
          <cell r="L108">
            <v>45565</v>
          </cell>
          <cell r="M108" t="str">
            <v>G1</v>
          </cell>
          <cell r="N108" t="str">
            <v>DIGITAL MEDIA</v>
          </cell>
          <cell r="O108" t="str">
            <v>A250</v>
          </cell>
          <cell r="P108" t="str">
            <v>DISPLAY</v>
          </cell>
          <cell r="Q108" t="str">
            <v>2024</v>
          </cell>
          <cell r="R108" t="str">
            <v>FZX3JE</v>
          </cell>
          <cell r="S108" t="str">
            <v>Cencosud Retail S.A.</v>
          </cell>
          <cell r="T108" t="str">
            <v/>
          </cell>
        </row>
        <row r="109">
          <cell r="C109" t="str">
            <v>T24C850000874</v>
          </cell>
          <cell r="D109" t="str">
            <v>A24C850001148</v>
          </cell>
          <cell r="E109">
            <v>7000000</v>
          </cell>
          <cell r="F109">
            <v>0</v>
          </cell>
          <cell r="G109" t="str">
            <v>Mobile Phone</v>
          </cell>
          <cell r="H109" t="str">
            <v>[1]HHP - AON CAMPAIGN - JULY - PARIS</v>
          </cell>
          <cell r="I109" t="str">
            <v>Completed</v>
          </cell>
          <cell r="J109" t="str">
            <v>fernandez.r</v>
          </cell>
          <cell r="K109">
            <v>45485</v>
          </cell>
          <cell r="L109">
            <v>45565</v>
          </cell>
          <cell r="M109" t="str">
            <v>G1</v>
          </cell>
          <cell r="N109" t="str">
            <v>DIGITAL MEDIA</v>
          </cell>
          <cell r="O109" t="str">
            <v>A240</v>
          </cell>
          <cell r="P109" t="str">
            <v>SEARCH</v>
          </cell>
          <cell r="Q109" t="str">
            <v>2024</v>
          </cell>
          <cell r="R109" t="str">
            <v>FZX3JE</v>
          </cell>
          <cell r="S109" t="str">
            <v>Cencosud Retail S.A.</v>
          </cell>
          <cell r="T109" t="str">
            <v/>
          </cell>
        </row>
        <row r="110">
          <cell r="C110" t="str">
            <v>T24C850000875</v>
          </cell>
          <cell r="D110" t="str">
            <v>A24C850001171</v>
          </cell>
          <cell r="E110">
            <v>3000000</v>
          </cell>
          <cell r="F110">
            <v>0</v>
          </cell>
          <cell r="G110" t="str">
            <v>Mobile Phone</v>
          </cell>
          <cell r="H110" t="str">
            <v>[1]WATCH7 LAUNCH CAMPAIGN - JULY - PARIS</v>
          </cell>
          <cell r="I110" t="str">
            <v>Completed</v>
          </cell>
          <cell r="J110" t="str">
            <v>fernandez.r</v>
          </cell>
          <cell r="K110">
            <v>45485</v>
          </cell>
          <cell r="L110">
            <v>45565</v>
          </cell>
          <cell r="M110" t="str">
            <v>G1</v>
          </cell>
          <cell r="N110" t="str">
            <v>DIGITAL MEDIA</v>
          </cell>
          <cell r="O110" t="str">
            <v>A240</v>
          </cell>
          <cell r="P110" t="str">
            <v>SEARCH</v>
          </cell>
          <cell r="Q110" t="str">
            <v>2024</v>
          </cell>
          <cell r="R110" t="str">
            <v>FZX3JE</v>
          </cell>
          <cell r="S110" t="str">
            <v>Cencosud Retail S.A.</v>
          </cell>
          <cell r="T110" t="str">
            <v/>
          </cell>
        </row>
        <row r="111">
          <cell r="C111" t="str">
            <v>T24C850000875</v>
          </cell>
          <cell r="D111" t="str">
            <v>A24C850001171</v>
          </cell>
          <cell r="E111">
            <v>2000000</v>
          </cell>
          <cell r="F111">
            <v>0</v>
          </cell>
          <cell r="G111" t="str">
            <v>Mobile Phone</v>
          </cell>
          <cell r="H111" t="str">
            <v>[1]WATCH7 LAUNCH CAMPAIGN - JULY - PARIS</v>
          </cell>
          <cell r="I111" t="str">
            <v>Completed</v>
          </cell>
          <cell r="J111" t="str">
            <v>fernandez.r</v>
          </cell>
          <cell r="K111">
            <v>45485</v>
          </cell>
          <cell r="L111">
            <v>45565</v>
          </cell>
          <cell r="M111" t="str">
            <v>G1</v>
          </cell>
          <cell r="N111" t="str">
            <v>DIGITAL MEDIA</v>
          </cell>
          <cell r="O111" t="str">
            <v>A250</v>
          </cell>
          <cell r="P111" t="str">
            <v>DISPLAY</v>
          </cell>
          <cell r="Q111" t="str">
            <v>2024</v>
          </cell>
          <cell r="R111" t="str">
            <v>FZX3JE</v>
          </cell>
          <cell r="S111" t="str">
            <v>Cencosud Retail S.A.</v>
          </cell>
          <cell r="T111" t="str">
            <v/>
          </cell>
        </row>
        <row r="112">
          <cell r="C112" t="str">
            <v>T24C850000877</v>
          </cell>
          <cell r="D112" t="str">
            <v>A24C850001164</v>
          </cell>
          <cell r="E112">
            <v>2000000</v>
          </cell>
          <cell r="F112">
            <v>0</v>
          </cell>
          <cell r="G112" t="str">
            <v>Mobile Phone</v>
          </cell>
          <cell r="H112" t="str">
            <v>[1]TAB - AON CAMPAIGN - JULY - PARIS</v>
          </cell>
          <cell r="I112" t="str">
            <v>Completed</v>
          </cell>
          <cell r="J112" t="str">
            <v>fernandez.r</v>
          </cell>
          <cell r="K112">
            <v>45485</v>
          </cell>
          <cell r="L112">
            <v>45565</v>
          </cell>
          <cell r="M112" t="str">
            <v>G1</v>
          </cell>
          <cell r="N112" t="str">
            <v>DIGITAL MEDIA</v>
          </cell>
          <cell r="O112" t="str">
            <v>A250</v>
          </cell>
          <cell r="P112" t="str">
            <v>DISPLAY</v>
          </cell>
          <cell r="Q112" t="str">
            <v>2024</v>
          </cell>
          <cell r="R112" t="str">
            <v>FZX3JE</v>
          </cell>
          <cell r="S112" t="str">
            <v>Cencosud Retail S.A.</v>
          </cell>
          <cell r="T112" t="str">
            <v/>
          </cell>
        </row>
        <row r="113">
          <cell r="C113" t="str">
            <v>T24C850000877</v>
          </cell>
          <cell r="D113" t="str">
            <v>A24C850001164</v>
          </cell>
          <cell r="E113">
            <v>4000000</v>
          </cell>
          <cell r="F113">
            <v>0</v>
          </cell>
          <cell r="G113" t="str">
            <v>Mobile Phone</v>
          </cell>
          <cell r="H113" t="str">
            <v>[1]TAB - AON CAMPAIGN - JULY - PARIS</v>
          </cell>
          <cell r="I113" t="str">
            <v>Completed</v>
          </cell>
          <cell r="J113" t="str">
            <v>fernandez.r</v>
          </cell>
          <cell r="K113">
            <v>45485</v>
          </cell>
          <cell r="L113">
            <v>45565</v>
          </cell>
          <cell r="M113" t="str">
            <v>G1</v>
          </cell>
          <cell r="N113" t="str">
            <v>DIGITAL MEDIA</v>
          </cell>
          <cell r="O113" t="str">
            <v>A240</v>
          </cell>
          <cell r="P113" t="str">
            <v>SEARCH</v>
          </cell>
          <cell r="Q113" t="str">
            <v>2024</v>
          </cell>
          <cell r="R113" t="str">
            <v>FZX3JE</v>
          </cell>
          <cell r="S113" t="str">
            <v>Cencosud Retail S.A.</v>
          </cell>
          <cell r="T113" t="str">
            <v/>
          </cell>
        </row>
        <row r="114">
          <cell r="C114" t="str">
            <v>T24C850000935</v>
          </cell>
          <cell r="D114" t="str">
            <v>A24C850001265</v>
          </cell>
          <cell r="E114">
            <v>2000000</v>
          </cell>
          <cell r="F114">
            <v>0</v>
          </cell>
          <cell r="G114" t="str">
            <v>Mobile Phone</v>
          </cell>
          <cell r="H114" t="str">
            <v>[1]TAB - AON CAMPAIGN - AUGUST - SEPTEMBER PARIS</v>
          </cell>
          <cell r="I114" t="str">
            <v>Completed</v>
          </cell>
          <cell r="J114" t="str">
            <v>sjara.mella</v>
          </cell>
          <cell r="K114">
            <v>45513</v>
          </cell>
          <cell r="L114">
            <v>45626</v>
          </cell>
          <cell r="M114" t="str">
            <v>G1</v>
          </cell>
          <cell r="N114" t="str">
            <v>DIGITAL MEDIA</v>
          </cell>
          <cell r="O114" t="str">
            <v>A250</v>
          </cell>
          <cell r="P114" t="str">
            <v>DISPLAY</v>
          </cell>
          <cell r="Q114" t="str">
            <v>2024</v>
          </cell>
          <cell r="R114" t="str">
            <v>FZX3JE</v>
          </cell>
          <cell r="S114" t="str">
            <v>Cencosud Retail S.A.</v>
          </cell>
          <cell r="T114" t="str">
            <v/>
          </cell>
        </row>
        <row r="115">
          <cell r="C115" t="str">
            <v>T24C850000935</v>
          </cell>
          <cell r="D115" t="str">
            <v>A24C850001265</v>
          </cell>
          <cell r="E115">
            <v>3000000</v>
          </cell>
          <cell r="F115">
            <v>0</v>
          </cell>
          <cell r="G115" t="str">
            <v>Mobile Phone</v>
          </cell>
          <cell r="H115" t="str">
            <v>[1]TAB - AON CAMPAIGN - AUGUST - SEPTEMBER PARIS</v>
          </cell>
          <cell r="I115" t="str">
            <v>Completed</v>
          </cell>
          <cell r="J115" t="str">
            <v>sjara.mella</v>
          </cell>
          <cell r="K115">
            <v>45513</v>
          </cell>
          <cell r="L115">
            <v>45626</v>
          </cell>
          <cell r="M115" t="str">
            <v>G1</v>
          </cell>
          <cell r="N115" t="str">
            <v>DIGITAL MEDIA</v>
          </cell>
          <cell r="O115" t="str">
            <v>A250</v>
          </cell>
          <cell r="P115" t="str">
            <v>DISPLAY</v>
          </cell>
          <cell r="Q115" t="str">
            <v>2024</v>
          </cell>
          <cell r="R115" t="str">
            <v>FZX3JE</v>
          </cell>
          <cell r="S115" t="str">
            <v>Cencosud Retail S.A.</v>
          </cell>
          <cell r="T115" t="str">
            <v/>
          </cell>
        </row>
        <row r="116">
          <cell r="C116" t="str">
            <v>T24C850000935</v>
          </cell>
          <cell r="D116" t="str">
            <v>A24C850001265</v>
          </cell>
          <cell r="E116">
            <v>4000000</v>
          </cell>
          <cell r="F116">
            <v>0</v>
          </cell>
          <cell r="G116" t="str">
            <v>Mobile Phone</v>
          </cell>
          <cell r="H116" t="str">
            <v>[1]TAB - AON CAMPAIGN - AUGUST - SEPTEMBER PARIS</v>
          </cell>
          <cell r="I116" t="str">
            <v>Completed</v>
          </cell>
          <cell r="J116" t="str">
            <v>sjara.mella</v>
          </cell>
          <cell r="K116">
            <v>45513</v>
          </cell>
          <cell r="L116">
            <v>45626</v>
          </cell>
          <cell r="M116" t="str">
            <v>G1</v>
          </cell>
          <cell r="N116" t="str">
            <v>DIGITAL MEDIA</v>
          </cell>
          <cell r="O116" t="str">
            <v>A240</v>
          </cell>
          <cell r="P116" t="str">
            <v>SEARCH</v>
          </cell>
          <cell r="Q116" t="str">
            <v>2024</v>
          </cell>
          <cell r="R116" t="str">
            <v>FZX3JE</v>
          </cell>
          <cell r="S116" t="str">
            <v>Cencosud Retail S.A.</v>
          </cell>
          <cell r="T116" t="str">
            <v/>
          </cell>
        </row>
        <row r="117">
          <cell r="C117" t="str">
            <v>T24C850000935</v>
          </cell>
          <cell r="D117" t="str">
            <v>A24C850001265</v>
          </cell>
          <cell r="E117">
            <v>3000000</v>
          </cell>
          <cell r="F117">
            <v>0</v>
          </cell>
          <cell r="G117" t="str">
            <v>Mobile Phone</v>
          </cell>
          <cell r="H117" t="str">
            <v>[1]TAB - AON CAMPAIGN - AUGUST - SEPTEMBER PARIS</v>
          </cell>
          <cell r="I117" t="str">
            <v>Completed</v>
          </cell>
          <cell r="J117" t="str">
            <v>sjara.mella</v>
          </cell>
          <cell r="K117">
            <v>45513</v>
          </cell>
          <cell r="L117">
            <v>45626</v>
          </cell>
          <cell r="M117" t="str">
            <v>G1</v>
          </cell>
          <cell r="N117" t="str">
            <v>DIGITAL MEDIA</v>
          </cell>
          <cell r="O117" t="str">
            <v>A240</v>
          </cell>
          <cell r="P117" t="str">
            <v>SEARCH</v>
          </cell>
          <cell r="Q117" t="str">
            <v>2024</v>
          </cell>
          <cell r="R117" t="str">
            <v>FZX3JE</v>
          </cell>
          <cell r="S117" t="str">
            <v>Cencosud Retail S.A.</v>
          </cell>
          <cell r="T117" t="str">
            <v/>
          </cell>
        </row>
        <row r="118">
          <cell r="C118" t="str">
            <v>T24C850000953</v>
          </cell>
          <cell r="D118" t="str">
            <v>A24C850001285</v>
          </cell>
          <cell r="E118">
            <v>3000000</v>
          </cell>
          <cell r="F118">
            <v>0</v>
          </cell>
          <cell r="G118" t="str">
            <v>Mobile Phone</v>
          </cell>
          <cell r="H118" t="str">
            <v>[1]HHP - AON CAMPAIGN - AUGUST - SEPTEMBER PARIS</v>
          </cell>
          <cell r="I118" t="str">
            <v>Completed</v>
          </cell>
          <cell r="J118" t="str">
            <v>sjara.mella</v>
          </cell>
          <cell r="K118">
            <v>45513</v>
          </cell>
          <cell r="L118">
            <v>45626</v>
          </cell>
          <cell r="M118" t="str">
            <v>G1</v>
          </cell>
          <cell r="N118" t="str">
            <v>DIGITAL MEDIA</v>
          </cell>
          <cell r="O118" t="str">
            <v>A250</v>
          </cell>
          <cell r="P118" t="str">
            <v>DISPLAY</v>
          </cell>
          <cell r="Q118" t="str">
            <v>2024</v>
          </cell>
          <cell r="R118" t="str">
            <v>FZX3JE</v>
          </cell>
          <cell r="S118" t="str">
            <v>Cencosud Retail S.A.</v>
          </cell>
          <cell r="T118" t="str">
            <v/>
          </cell>
        </row>
        <row r="119">
          <cell r="C119" t="str">
            <v>T24C850000953</v>
          </cell>
          <cell r="D119" t="str">
            <v>A24C850001285</v>
          </cell>
          <cell r="E119">
            <v>2000000</v>
          </cell>
          <cell r="F119">
            <v>0</v>
          </cell>
          <cell r="G119" t="str">
            <v>Mobile Phone</v>
          </cell>
          <cell r="H119" t="str">
            <v>[1]HHP - AON CAMPAIGN - AUGUST - SEPTEMBER PARIS</v>
          </cell>
          <cell r="I119" t="str">
            <v>Completed</v>
          </cell>
          <cell r="J119" t="str">
            <v>sjara.mella</v>
          </cell>
          <cell r="K119">
            <v>45513</v>
          </cell>
          <cell r="L119">
            <v>45626</v>
          </cell>
          <cell r="M119" t="str">
            <v>G1</v>
          </cell>
          <cell r="N119" t="str">
            <v>DIGITAL MEDIA</v>
          </cell>
          <cell r="O119" t="str">
            <v>A250</v>
          </cell>
          <cell r="P119" t="str">
            <v>DISPLAY</v>
          </cell>
          <cell r="Q119" t="str">
            <v>2024</v>
          </cell>
          <cell r="R119" t="str">
            <v>FZX3JE</v>
          </cell>
          <cell r="S119" t="str">
            <v>Cencosud Retail S.A.</v>
          </cell>
          <cell r="T119" t="str">
            <v/>
          </cell>
        </row>
        <row r="120">
          <cell r="C120" t="str">
            <v>T24C850000953</v>
          </cell>
          <cell r="D120" t="str">
            <v>A24C850001285</v>
          </cell>
          <cell r="E120">
            <v>7000000</v>
          </cell>
          <cell r="F120">
            <v>0</v>
          </cell>
          <cell r="G120" t="str">
            <v>Mobile Phone</v>
          </cell>
          <cell r="H120" t="str">
            <v>[1]HHP - AON CAMPAIGN - AUGUST - SEPTEMBER PARIS</v>
          </cell>
          <cell r="I120" t="str">
            <v>Completed</v>
          </cell>
          <cell r="J120" t="str">
            <v>sjara.mella</v>
          </cell>
          <cell r="K120">
            <v>45513</v>
          </cell>
          <cell r="L120">
            <v>45626</v>
          </cell>
          <cell r="M120" t="str">
            <v>G1</v>
          </cell>
          <cell r="N120" t="str">
            <v>DIGITAL MEDIA</v>
          </cell>
          <cell r="O120" t="str">
            <v>A240</v>
          </cell>
          <cell r="P120" t="str">
            <v>SEARCH</v>
          </cell>
          <cell r="Q120" t="str">
            <v>2024</v>
          </cell>
          <cell r="R120" t="str">
            <v>FZX3JE</v>
          </cell>
          <cell r="S120" t="str">
            <v>Cencosud Retail S.A.</v>
          </cell>
          <cell r="T120" t="str">
            <v/>
          </cell>
        </row>
        <row r="121">
          <cell r="C121" t="str">
            <v>T24C850000953</v>
          </cell>
          <cell r="D121" t="str">
            <v>A24C850001285</v>
          </cell>
          <cell r="E121">
            <v>2000000</v>
          </cell>
          <cell r="F121">
            <v>0</v>
          </cell>
          <cell r="G121" t="str">
            <v>Mobile Phone</v>
          </cell>
          <cell r="H121" t="str">
            <v>[1]HHP - AON CAMPAIGN - AUGUST - SEPTEMBER PARIS</v>
          </cell>
          <cell r="I121" t="str">
            <v>Completed</v>
          </cell>
          <cell r="J121" t="str">
            <v>sjara.mella</v>
          </cell>
          <cell r="K121">
            <v>45513</v>
          </cell>
          <cell r="L121">
            <v>45626</v>
          </cell>
          <cell r="M121" t="str">
            <v>G1</v>
          </cell>
          <cell r="N121" t="str">
            <v>DIGITAL MEDIA</v>
          </cell>
          <cell r="O121" t="str">
            <v>A240</v>
          </cell>
          <cell r="P121" t="str">
            <v>SEARCH</v>
          </cell>
          <cell r="Q121" t="str">
            <v>2024</v>
          </cell>
          <cell r="R121" t="str">
            <v>FZX3JE</v>
          </cell>
          <cell r="S121" t="str">
            <v>Cencosud Retail S.A.</v>
          </cell>
          <cell r="T121" t="str">
            <v/>
          </cell>
        </row>
        <row r="122">
          <cell r="C122" t="str">
            <v>T24C850000956</v>
          </cell>
          <cell r="D122" t="str">
            <v>A24C850001291</v>
          </cell>
          <cell r="E122">
            <v>1500000</v>
          </cell>
          <cell r="F122">
            <v>0</v>
          </cell>
          <cell r="G122" t="str">
            <v>Mobile Phone</v>
          </cell>
          <cell r="H122" t="str">
            <v>[1]WEAR - AON CAMPAIGN - AUGUST TO NOVEMBER - PARIS</v>
          </cell>
          <cell r="I122" t="str">
            <v>Completed</v>
          </cell>
          <cell r="J122" t="str">
            <v>fernandez.r</v>
          </cell>
          <cell r="K122">
            <v>45516</v>
          </cell>
          <cell r="L122">
            <v>45657</v>
          </cell>
          <cell r="M122" t="str">
            <v>G1</v>
          </cell>
          <cell r="N122" t="str">
            <v>DIGITAL MEDIA</v>
          </cell>
          <cell r="O122" t="str">
            <v>A240</v>
          </cell>
          <cell r="P122" t="str">
            <v>SEARCH</v>
          </cell>
          <cell r="Q122" t="str">
            <v>2024</v>
          </cell>
          <cell r="R122" t="str">
            <v>FZX3JE</v>
          </cell>
          <cell r="S122" t="str">
            <v>Cencosud Retail S.A.</v>
          </cell>
          <cell r="T122" t="str">
            <v/>
          </cell>
          <cell r="U122" t="str">
            <v>Remanente pedir factura</v>
          </cell>
        </row>
        <row r="123">
          <cell r="C123" t="str">
            <v>T24C850000956</v>
          </cell>
          <cell r="D123" t="str">
            <v>A24C850001291</v>
          </cell>
          <cell r="E123">
            <v>1000000</v>
          </cell>
          <cell r="F123">
            <v>0</v>
          </cell>
          <cell r="G123" t="str">
            <v>Mobile Phone</v>
          </cell>
          <cell r="H123" t="str">
            <v>[1]WEAR - AON CAMPAIGN - AUGUST TO NOVEMBER - PARIS</v>
          </cell>
          <cell r="I123" t="str">
            <v>Completed</v>
          </cell>
          <cell r="J123" t="str">
            <v>fernandez.r</v>
          </cell>
          <cell r="K123">
            <v>45516</v>
          </cell>
          <cell r="L123">
            <v>45657</v>
          </cell>
          <cell r="M123" t="str">
            <v>G1</v>
          </cell>
          <cell r="N123" t="str">
            <v>DIGITAL MEDIA</v>
          </cell>
          <cell r="O123" t="str">
            <v>A240</v>
          </cell>
          <cell r="P123" t="str">
            <v>SEARCH</v>
          </cell>
          <cell r="Q123" t="str">
            <v>2024</v>
          </cell>
          <cell r="R123" t="str">
            <v>FZX3JE</v>
          </cell>
          <cell r="S123" t="str">
            <v>Cencosud Retail S.A.</v>
          </cell>
          <cell r="T123" t="str">
            <v/>
          </cell>
          <cell r="U123" t="str">
            <v>Remanente pedir factura</v>
          </cell>
        </row>
        <row r="124">
          <cell r="C124" t="str">
            <v>T24C850000956</v>
          </cell>
          <cell r="D124" t="str">
            <v>A24C850001291</v>
          </cell>
          <cell r="E124">
            <v>1000000</v>
          </cell>
          <cell r="F124">
            <v>0</v>
          </cell>
          <cell r="G124" t="str">
            <v>Mobile Phone</v>
          </cell>
          <cell r="H124" t="str">
            <v>[1]WEAR - AON CAMPAIGN - AUGUST TO NOVEMBER - PARIS</v>
          </cell>
          <cell r="I124" t="str">
            <v>Completed</v>
          </cell>
          <cell r="J124" t="str">
            <v>fernandez.r</v>
          </cell>
          <cell r="K124">
            <v>45516</v>
          </cell>
          <cell r="L124">
            <v>45657</v>
          </cell>
          <cell r="M124" t="str">
            <v>G1</v>
          </cell>
          <cell r="N124" t="str">
            <v>DIGITAL MEDIA</v>
          </cell>
          <cell r="O124" t="str">
            <v>A240</v>
          </cell>
          <cell r="P124" t="str">
            <v>SEARCH</v>
          </cell>
          <cell r="Q124" t="str">
            <v>2024</v>
          </cell>
          <cell r="R124" t="str">
            <v>FZX3JE</v>
          </cell>
          <cell r="S124" t="str">
            <v>Cencosud Retail S.A.</v>
          </cell>
          <cell r="T124" t="str">
            <v/>
          </cell>
          <cell r="U124" t="str">
            <v>Remanente pedir factura</v>
          </cell>
        </row>
        <row r="125">
          <cell r="C125" t="str">
            <v>T24C850000956</v>
          </cell>
          <cell r="D125" t="str">
            <v>A24C850001291</v>
          </cell>
          <cell r="E125">
            <v>500000</v>
          </cell>
          <cell r="F125">
            <v>0</v>
          </cell>
          <cell r="G125" t="str">
            <v>Mobile Phone</v>
          </cell>
          <cell r="H125" t="str">
            <v>[1]WEAR - AON CAMPAIGN - AUGUST TO NOVEMBER - PARIS</v>
          </cell>
          <cell r="I125" t="str">
            <v>Completed</v>
          </cell>
          <cell r="J125" t="str">
            <v>fernandez.r</v>
          </cell>
          <cell r="K125">
            <v>45516</v>
          </cell>
          <cell r="L125">
            <v>45657</v>
          </cell>
          <cell r="M125" t="str">
            <v>G1</v>
          </cell>
          <cell r="N125" t="str">
            <v>DIGITAL MEDIA</v>
          </cell>
          <cell r="O125" t="str">
            <v>A240</v>
          </cell>
          <cell r="P125" t="str">
            <v>SEARCH</v>
          </cell>
          <cell r="Q125" t="str">
            <v>2024</v>
          </cell>
          <cell r="R125" t="str">
            <v>FZX3JE</v>
          </cell>
          <cell r="S125" t="str">
            <v>Cencosud Retail S.A.</v>
          </cell>
          <cell r="T125" t="str">
            <v/>
          </cell>
          <cell r="U125" t="str">
            <v>Remanente pedir factura</v>
          </cell>
        </row>
        <row r="126">
          <cell r="C126" t="str">
            <v>T24C850000956</v>
          </cell>
          <cell r="D126" t="str">
            <v>A24C850001291</v>
          </cell>
          <cell r="E126">
            <v>1000000</v>
          </cell>
          <cell r="F126">
            <v>0</v>
          </cell>
          <cell r="G126" t="str">
            <v>Mobile Phone</v>
          </cell>
          <cell r="H126" t="str">
            <v>[1]WEAR - AON CAMPAIGN - AUGUST TO NOVEMBER - PARIS</v>
          </cell>
          <cell r="I126" t="str">
            <v>Completed</v>
          </cell>
          <cell r="J126" t="str">
            <v>fernandez.r</v>
          </cell>
          <cell r="K126">
            <v>45516</v>
          </cell>
          <cell r="L126">
            <v>45657</v>
          </cell>
          <cell r="M126" t="str">
            <v>G1</v>
          </cell>
          <cell r="N126" t="str">
            <v>DIGITAL MEDIA</v>
          </cell>
          <cell r="O126" t="str">
            <v>A250</v>
          </cell>
          <cell r="P126" t="str">
            <v>DISPLAY</v>
          </cell>
          <cell r="Q126" t="str">
            <v>2024</v>
          </cell>
          <cell r="R126" t="str">
            <v>FZX3JE</v>
          </cell>
          <cell r="S126" t="str">
            <v>Cencosud Retail S.A.</v>
          </cell>
          <cell r="T126" t="str">
            <v/>
          </cell>
          <cell r="U126" t="str">
            <v>Remanente pedir factura</v>
          </cell>
        </row>
        <row r="127">
          <cell r="C127" t="str">
            <v>T24C850000956</v>
          </cell>
          <cell r="D127" t="str">
            <v>A24C850001291</v>
          </cell>
          <cell r="E127">
            <v>500000</v>
          </cell>
          <cell r="F127">
            <v>0</v>
          </cell>
          <cell r="G127" t="str">
            <v>Mobile Phone</v>
          </cell>
          <cell r="H127" t="str">
            <v>[1]WEAR - AON CAMPAIGN - AUGUST TO NOVEMBER - PARIS</v>
          </cell>
          <cell r="I127" t="str">
            <v>Completed</v>
          </cell>
          <cell r="J127" t="str">
            <v>fernandez.r</v>
          </cell>
          <cell r="K127">
            <v>45516</v>
          </cell>
          <cell r="L127">
            <v>45657</v>
          </cell>
          <cell r="M127" t="str">
            <v>G1</v>
          </cell>
          <cell r="N127" t="str">
            <v>DIGITAL MEDIA</v>
          </cell>
          <cell r="O127" t="str">
            <v>A250</v>
          </cell>
          <cell r="P127" t="str">
            <v>DISPLAY</v>
          </cell>
          <cell r="Q127" t="str">
            <v>2024</v>
          </cell>
          <cell r="R127" t="str">
            <v>FZX3JE</v>
          </cell>
          <cell r="S127" t="str">
            <v>Cencosud Retail S.A.</v>
          </cell>
          <cell r="T127" t="str">
            <v/>
          </cell>
          <cell r="U127" t="str">
            <v>Remanente pedir factura</v>
          </cell>
        </row>
        <row r="128">
          <cell r="C128" t="str">
            <v>T24C850000956</v>
          </cell>
          <cell r="D128" t="str">
            <v>A24C850001291</v>
          </cell>
          <cell r="E128">
            <v>500000</v>
          </cell>
          <cell r="F128">
            <v>0</v>
          </cell>
          <cell r="G128" t="str">
            <v>Mobile Phone</v>
          </cell>
          <cell r="H128" t="str">
            <v>[1]WEAR - AON CAMPAIGN - AUGUST TO NOVEMBER - PARIS</v>
          </cell>
          <cell r="I128" t="str">
            <v>Completed</v>
          </cell>
          <cell r="J128" t="str">
            <v>fernandez.r</v>
          </cell>
          <cell r="K128">
            <v>45516</v>
          </cell>
          <cell r="L128">
            <v>45657</v>
          </cell>
          <cell r="M128" t="str">
            <v>G1</v>
          </cell>
          <cell r="N128" t="str">
            <v>DIGITAL MEDIA</v>
          </cell>
          <cell r="O128" t="str">
            <v>A250</v>
          </cell>
          <cell r="P128" t="str">
            <v>DISPLAY</v>
          </cell>
          <cell r="Q128" t="str">
            <v>2024</v>
          </cell>
          <cell r="R128" t="str">
            <v>FZX3JE</v>
          </cell>
          <cell r="S128" t="str">
            <v>Cencosud Retail S.A.</v>
          </cell>
          <cell r="T128" t="str">
            <v/>
          </cell>
          <cell r="U128" t="str">
            <v>Remanente pedir factura</v>
          </cell>
        </row>
        <row r="129">
          <cell r="C129" t="str">
            <v>T24C850001139</v>
          </cell>
          <cell r="D129" t="str">
            <v>A24C850001590</v>
          </cell>
          <cell r="E129">
            <v>1500000</v>
          </cell>
          <cell r="F129">
            <v>0</v>
          </cell>
          <cell r="G129" t="str">
            <v>Mobile Phone</v>
          </cell>
          <cell r="H129" t="str">
            <v>[2]WEAR AON WEAR RETAIL CAMPAIGN 2024</v>
          </cell>
          <cell r="I129" t="str">
            <v>Completed</v>
          </cell>
          <cell r="J129" t="str">
            <v>f.inda</v>
          </cell>
          <cell r="K129">
            <v>45566</v>
          </cell>
          <cell r="L129">
            <v>45657</v>
          </cell>
          <cell r="M129" t="str">
            <v>G1</v>
          </cell>
          <cell r="N129" t="str">
            <v>DIGITAL MEDIA</v>
          </cell>
          <cell r="O129" t="str">
            <v>A230</v>
          </cell>
          <cell r="P129" t="str">
            <v>SOCIAL ADS</v>
          </cell>
          <cell r="Q129" t="str">
            <v>2024</v>
          </cell>
          <cell r="R129" t="str">
            <v>FZX3JE</v>
          </cell>
          <cell r="S129" t="str">
            <v>Cencosud Retail S.A.</v>
          </cell>
          <cell r="T129" t="str">
            <v/>
          </cell>
        </row>
        <row r="130">
          <cell r="C130" t="str">
            <v>T24C850001139</v>
          </cell>
          <cell r="D130" t="str">
            <v>A24C850001590</v>
          </cell>
          <cell r="E130">
            <v>500000</v>
          </cell>
          <cell r="F130">
            <v>0</v>
          </cell>
          <cell r="G130" t="str">
            <v>Mobile Phone</v>
          </cell>
          <cell r="H130" t="str">
            <v>[2]WEAR AON WEAR RETAIL CAMPAIGN 2024</v>
          </cell>
          <cell r="I130" t="str">
            <v>Completed</v>
          </cell>
          <cell r="J130" t="str">
            <v>f.inda</v>
          </cell>
          <cell r="K130">
            <v>45566</v>
          </cell>
          <cell r="L130">
            <v>45657</v>
          </cell>
          <cell r="M130" t="str">
            <v>G1</v>
          </cell>
          <cell r="N130" t="str">
            <v>DIGITAL MEDIA</v>
          </cell>
          <cell r="O130" t="str">
            <v>A230</v>
          </cell>
          <cell r="P130" t="str">
            <v>SOCIAL ADS</v>
          </cell>
          <cell r="Q130" t="str">
            <v>2024</v>
          </cell>
          <cell r="R130" t="str">
            <v>FZX3JE</v>
          </cell>
          <cell r="S130" t="str">
            <v>Cencosud Retail S.A.</v>
          </cell>
          <cell r="T130" t="str">
            <v/>
          </cell>
        </row>
        <row r="131">
          <cell r="C131" t="str">
            <v>T24C850001143</v>
          </cell>
          <cell r="D131" t="str">
            <v>A24C850001594</v>
          </cell>
          <cell r="E131">
            <v>3000000</v>
          </cell>
          <cell r="F131">
            <v>0</v>
          </cell>
          <cell r="G131" t="str">
            <v>Mobile Phone</v>
          </cell>
          <cell r="H131" t="str">
            <v>[2]TAB AON SEP RETAIL CAMPAIGN 2024</v>
          </cell>
          <cell r="I131" t="str">
            <v>Completed</v>
          </cell>
          <cell r="J131" t="str">
            <v>f.inda</v>
          </cell>
          <cell r="K131">
            <v>45566</v>
          </cell>
          <cell r="L131">
            <v>45657</v>
          </cell>
          <cell r="M131" t="str">
            <v>G1</v>
          </cell>
          <cell r="N131" t="str">
            <v>DIGITAL MEDIA</v>
          </cell>
          <cell r="O131" t="str">
            <v>A240</v>
          </cell>
          <cell r="P131" t="str">
            <v>SEARCH</v>
          </cell>
          <cell r="Q131" t="str">
            <v>2024</v>
          </cell>
          <cell r="R131" t="str">
            <v>FZX3JE</v>
          </cell>
          <cell r="S131" t="str">
            <v>Cencosud Retail S.A.</v>
          </cell>
          <cell r="T131" t="str">
            <v/>
          </cell>
        </row>
        <row r="132">
          <cell r="C132" t="str">
            <v>T24C850001143</v>
          </cell>
          <cell r="D132" t="str">
            <v>A24C850001594</v>
          </cell>
          <cell r="E132">
            <v>3000000</v>
          </cell>
          <cell r="F132">
            <v>0</v>
          </cell>
          <cell r="G132" t="str">
            <v>Mobile Phone</v>
          </cell>
          <cell r="H132" t="str">
            <v>[2]TAB AON SEP RETAIL CAMPAIGN 2024</v>
          </cell>
          <cell r="I132" t="str">
            <v>Completed</v>
          </cell>
          <cell r="J132" t="str">
            <v>f.inda</v>
          </cell>
          <cell r="K132">
            <v>45566</v>
          </cell>
          <cell r="L132">
            <v>45657</v>
          </cell>
          <cell r="M132" t="str">
            <v>G1</v>
          </cell>
          <cell r="N132" t="str">
            <v>DIGITAL MEDIA</v>
          </cell>
          <cell r="O132" t="str">
            <v>A240</v>
          </cell>
          <cell r="P132" t="str">
            <v>SEARCH</v>
          </cell>
          <cell r="Q132" t="str">
            <v>2024</v>
          </cell>
          <cell r="R132" t="str">
            <v>FZX3JE</v>
          </cell>
          <cell r="S132" t="str">
            <v>Cencosud Retail S.A.</v>
          </cell>
          <cell r="T132" t="str">
            <v/>
          </cell>
        </row>
        <row r="133">
          <cell r="C133" t="str">
            <v>T24C850001143</v>
          </cell>
          <cell r="D133" t="str">
            <v>A24C850001594</v>
          </cell>
          <cell r="E133">
            <v>3500000</v>
          </cell>
          <cell r="F133">
            <v>0</v>
          </cell>
          <cell r="G133" t="str">
            <v>Mobile Phone</v>
          </cell>
          <cell r="H133" t="str">
            <v>[2]TAB AON SEP RETAIL CAMPAIGN 2024</v>
          </cell>
          <cell r="I133" t="str">
            <v>Completed</v>
          </cell>
          <cell r="J133" t="str">
            <v>f.inda</v>
          </cell>
          <cell r="K133">
            <v>45566</v>
          </cell>
          <cell r="L133">
            <v>45657</v>
          </cell>
          <cell r="M133" t="str">
            <v>G1</v>
          </cell>
          <cell r="N133" t="str">
            <v>DIGITAL MEDIA</v>
          </cell>
          <cell r="O133" t="str">
            <v>A240</v>
          </cell>
          <cell r="P133" t="str">
            <v>SEARCH</v>
          </cell>
          <cell r="Q133" t="str">
            <v>2024</v>
          </cell>
          <cell r="R133" t="str">
            <v>FZX3JE</v>
          </cell>
          <cell r="S133" t="str">
            <v>Cencosud Retail S.A.</v>
          </cell>
          <cell r="T133" t="str">
            <v/>
          </cell>
        </row>
        <row r="134">
          <cell r="C134" t="str">
            <v>T24C850001143</v>
          </cell>
          <cell r="D134" t="str">
            <v>A24C850001594</v>
          </cell>
          <cell r="E134">
            <v>3000000</v>
          </cell>
          <cell r="F134">
            <v>0</v>
          </cell>
          <cell r="G134" t="str">
            <v>Mobile Phone</v>
          </cell>
          <cell r="H134" t="str">
            <v>[2]TAB AON SEP RETAIL CAMPAIGN 2024</v>
          </cell>
          <cell r="I134" t="str">
            <v>Completed</v>
          </cell>
          <cell r="J134" t="str">
            <v>f.inda</v>
          </cell>
          <cell r="K134">
            <v>45566</v>
          </cell>
          <cell r="L134">
            <v>45657</v>
          </cell>
          <cell r="M134" t="str">
            <v>G1</v>
          </cell>
          <cell r="N134" t="str">
            <v>DIGITAL MEDIA</v>
          </cell>
          <cell r="O134" t="str">
            <v>A230</v>
          </cell>
          <cell r="P134" t="str">
            <v>SOCIAL ADS</v>
          </cell>
          <cell r="Q134" t="str">
            <v>2024</v>
          </cell>
          <cell r="R134" t="str">
            <v>FZX3JE</v>
          </cell>
          <cell r="S134" t="str">
            <v>Cencosud Retail S.A.</v>
          </cell>
          <cell r="T134" t="str">
            <v/>
          </cell>
        </row>
        <row r="135">
          <cell r="C135" t="str">
            <v>T24C850001143</v>
          </cell>
          <cell r="D135" t="str">
            <v>A24C850001594</v>
          </cell>
          <cell r="E135">
            <v>3000000</v>
          </cell>
          <cell r="F135">
            <v>0</v>
          </cell>
          <cell r="G135" t="str">
            <v>Mobile Phone</v>
          </cell>
          <cell r="H135" t="str">
            <v>[2]TAB AON SEP RETAIL CAMPAIGN 2024</v>
          </cell>
          <cell r="I135" t="str">
            <v>Completed</v>
          </cell>
          <cell r="J135" t="str">
            <v>f.inda</v>
          </cell>
          <cell r="K135">
            <v>45566</v>
          </cell>
          <cell r="L135">
            <v>45657</v>
          </cell>
          <cell r="M135" t="str">
            <v>G1</v>
          </cell>
          <cell r="N135" t="str">
            <v>DIGITAL MEDIA</v>
          </cell>
          <cell r="O135" t="str">
            <v>A230</v>
          </cell>
          <cell r="P135" t="str">
            <v>SOCIAL ADS</v>
          </cell>
          <cell r="Q135" t="str">
            <v>2024</v>
          </cell>
          <cell r="R135" t="str">
            <v>FZX3JE</v>
          </cell>
          <cell r="S135" t="str">
            <v>Cencosud Retail S.A.</v>
          </cell>
          <cell r="T135" t="str">
            <v/>
          </cell>
        </row>
        <row r="136">
          <cell r="C136" t="str">
            <v>T24C850001143</v>
          </cell>
          <cell r="D136" t="str">
            <v>A24C850001594</v>
          </cell>
          <cell r="E136">
            <v>3500000</v>
          </cell>
          <cell r="F136">
            <v>0</v>
          </cell>
          <cell r="G136" t="str">
            <v>Mobile Phone</v>
          </cell>
          <cell r="H136" t="str">
            <v>[2]TAB AON SEP RETAIL CAMPAIGN 2024</v>
          </cell>
          <cell r="I136" t="str">
            <v>Completed</v>
          </cell>
          <cell r="J136" t="str">
            <v>f.inda</v>
          </cell>
          <cell r="K136">
            <v>45566</v>
          </cell>
          <cell r="L136">
            <v>45657</v>
          </cell>
          <cell r="M136" t="str">
            <v>G1</v>
          </cell>
          <cell r="N136" t="str">
            <v>DIGITAL MEDIA</v>
          </cell>
          <cell r="O136" t="str">
            <v>A230</v>
          </cell>
          <cell r="P136" t="str">
            <v>SOCIAL ADS</v>
          </cell>
          <cell r="Q136" t="str">
            <v>2024</v>
          </cell>
          <cell r="R136" t="str">
            <v>FZX3JE</v>
          </cell>
          <cell r="S136" t="str">
            <v>Cencosud Retail S.A.</v>
          </cell>
          <cell r="T136" t="str">
            <v/>
          </cell>
        </row>
        <row r="137">
          <cell r="C137" t="str">
            <v>T24C850001146</v>
          </cell>
          <cell r="D137" t="str">
            <v>A24C850001591</v>
          </cell>
          <cell r="E137">
            <v>7500000</v>
          </cell>
          <cell r="F137">
            <v>0</v>
          </cell>
          <cell r="G137" t="str">
            <v>Computer</v>
          </cell>
          <cell r="H137" t="str">
            <v>[2]NPC AON Q4 RETAIL.COM CAMPAIGN 2024</v>
          </cell>
          <cell r="I137" t="str">
            <v>Completed</v>
          </cell>
          <cell r="J137" t="str">
            <v>m.lavanchy</v>
          </cell>
          <cell r="K137">
            <v>45566</v>
          </cell>
          <cell r="L137">
            <v>45657</v>
          </cell>
          <cell r="M137" t="str">
            <v>C3</v>
          </cell>
          <cell r="N137" t="str">
            <v>DIGITAL MEDIA</v>
          </cell>
          <cell r="O137" t="str">
            <v>A240</v>
          </cell>
          <cell r="P137" t="str">
            <v>SEARCH</v>
          </cell>
          <cell r="Q137" t="str">
            <v>2024</v>
          </cell>
          <cell r="R137" t="str">
            <v>FZX3JE</v>
          </cell>
          <cell r="S137" t="str">
            <v>Cencosud Retail S.A.</v>
          </cell>
          <cell r="T137" t="str">
            <v/>
          </cell>
        </row>
        <row r="138">
          <cell r="C138" t="str">
            <v>T24C850001146</v>
          </cell>
          <cell r="D138" t="str">
            <v>A24C850001591</v>
          </cell>
          <cell r="E138">
            <v>7500000</v>
          </cell>
          <cell r="F138">
            <v>0</v>
          </cell>
          <cell r="G138" t="str">
            <v>Computer</v>
          </cell>
          <cell r="H138" t="str">
            <v>[2]NPC AON Q4 RETAIL.COM CAMPAIGN 2024</v>
          </cell>
          <cell r="I138" t="str">
            <v>Completed</v>
          </cell>
          <cell r="J138" t="str">
            <v>m.lavanchy</v>
          </cell>
          <cell r="K138">
            <v>45566</v>
          </cell>
          <cell r="L138">
            <v>45657</v>
          </cell>
          <cell r="M138" t="str">
            <v>C3</v>
          </cell>
          <cell r="N138" t="str">
            <v>DIGITAL MEDIA</v>
          </cell>
          <cell r="O138" t="str">
            <v>A240</v>
          </cell>
          <cell r="P138" t="str">
            <v>SEARCH</v>
          </cell>
          <cell r="Q138" t="str">
            <v>2024</v>
          </cell>
          <cell r="R138" t="str">
            <v>FZX3JE</v>
          </cell>
          <cell r="S138" t="str">
            <v>Cencosud Retail S.A.</v>
          </cell>
          <cell r="T138" t="str">
            <v/>
          </cell>
        </row>
        <row r="139">
          <cell r="C139" t="str">
            <v>T24C850001146</v>
          </cell>
          <cell r="D139" t="str">
            <v>A24C850001591</v>
          </cell>
          <cell r="E139">
            <v>7500000</v>
          </cell>
          <cell r="F139">
            <v>0</v>
          </cell>
          <cell r="G139" t="str">
            <v>Computer</v>
          </cell>
          <cell r="H139" t="str">
            <v>[2]NPC AON Q4 RETAIL.COM CAMPAIGN 2024</v>
          </cell>
          <cell r="I139" t="str">
            <v>Completed</v>
          </cell>
          <cell r="J139" t="str">
            <v>m.lavanchy</v>
          </cell>
          <cell r="K139">
            <v>45566</v>
          </cell>
          <cell r="L139">
            <v>45657</v>
          </cell>
          <cell r="M139" t="str">
            <v>C3</v>
          </cell>
          <cell r="N139" t="str">
            <v>DIGITAL MEDIA</v>
          </cell>
          <cell r="O139" t="str">
            <v>A230</v>
          </cell>
          <cell r="P139" t="str">
            <v>SOCIAL ADS</v>
          </cell>
          <cell r="Q139" t="str">
            <v>2024</v>
          </cell>
          <cell r="R139" t="str">
            <v>FZX3JE</v>
          </cell>
          <cell r="S139" t="str">
            <v>Cencosud Retail S.A.</v>
          </cell>
          <cell r="T139" t="str">
            <v/>
          </cell>
        </row>
        <row r="140">
          <cell r="C140" t="str">
            <v>T24C850001146</v>
          </cell>
          <cell r="D140" t="str">
            <v>A24C850001591</v>
          </cell>
          <cell r="E140">
            <v>7500000</v>
          </cell>
          <cell r="F140">
            <v>0</v>
          </cell>
          <cell r="G140" t="str">
            <v>Computer</v>
          </cell>
          <cell r="H140" t="str">
            <v>[2]NPC AON Q4 RETAIL.COM CAMPAIGN 2024</v>
          </cell>
          <cell r="I140" t="str">
            <v>Completed</v>
          </cell>
          <cell r="J140" t="str">
            <v>m.lavanchy</v>
          </cell>
          <cell r="K140">
            <v>45566</v>
          </cell>
          <cell r="L140">
            <v>45657</v>
          </cell>
          <cell r="M140" t="str">
            <v>C3</v>
          </cell>
          <cell r="N140" t="str">
            <v>DIGITAL MEDIA</v>
          </cell>
          <cell r="O140" t="str">
            <v>A230</v>
          </cell>
          <cell r="P140" t="str">
            <v>SOCIAL ADS</v>
          </cell>
          <cell r="Q140" t="str">
            <v>2024</v>
          </cell>
          <cell r="R140" t="str">
            <v>FZX3JE</v>
          </cell>
          <cell r="S140" t="str">
            <v>Cencosud Retail S.A.</v>
          </cell>
          <cell r="T140" t="str">
            <v/>
          </cell>
        </row>
        <row r="141">
          <cell r="C141" t="str">
            <v>T24C850001150</v>
          </cell>
          <cell r="D141" t="str">
            <v>A24C850001596</v>
          </cell>
          <cell r="E141">
            <v>6500000</v>
          </cell>
          <cell r="F141">
            <v>0</v>
          </cell>
          <cell r="G141" t="str">
            <v>Mobile Phone</v>
          </cell>
          <cell r="H141" t="str">
            <v>[2]HHP AON Q4 RETAIL CAMPAIGN 2024</v>
          </cell>
          <cell r="I141" t="str">
            <v>Completed</v>
          </cell>
          <cell r="J141" t="str">
            <v>m.lavanchy</v>
          </cell>
          <cell r="K141">
            <v>45566</v>
          </cell>
          <cell r="L141">
            <v>45657</v>
          </cell>
          <cell r="M141" t="str">
            <v>G1</v>
          </cell>
          <cell r="N141" t="str">
            <v>DIGITAL MEDIA</v>
          </cell>
          <cell r="O141" t="str">
            <v>A240</v>
          </cell>
          <cell r="P141" t="str">
            <v>SEARCH</v>
          </cell>
          <cell r="Q141" t="str">
            <v>2024</v>
          </cell>
          <cell r="R141" t="str">
            <v>FZX3JE</v>
          </cell>
          <cell r="S141" t="str">
            <v>Cencosud Retail S.A.</v>
          </cell>
          <cell r="T141" t="str">
            <v/>
          </cell>
        </row>
        <row r="142">
          <cell r="C142" t="str">
            <v>T24C850001150</v>
          </cell>
          <cell r="D142" t="str">
            <v>A24C850001596</v>
          </cell>
          <cell r="E142">
            <v>5000000</v>
          </cell>
          <cell r="F142">
            <v>0</v>
          </cell>
          <cell r="G142" t="str">
            <v>Mobile Phone</v>
          </cell>
          <cell r="H142" t="str">
            <v>[2]HHP AON Q4 RETAIL CAMPAIGN 2024</v>
          </cell>
          <cell r="I142" t="str">
            <v>Completed</v>
          </cell>
          <cell r="J142" t="str">
            <v>m.lavanchy</v>
          </cell>
          <cell r="K142">
            <v>45566</v>
          </cell>
          <cell r="L142">
            <v>45657</v>
          </cell>
          <cell r="M142" t="str">
            <v>G1</v>
          </cell>
          <cell r="N142" t="str">
            <v>DIGITAL MEDIA</v>
          </cell>
          <cell r="O142" t="str">
            <v>A240</v>
          </cell>
          <cell r="P142" t="str">
            <v>SEARCH</v>
          </cell>
          <cell r="Q142" t="str">
            <v>2024</v>
          </cell>
          <cell r="R142" t="str">
            <v>FZX3JE</v>
          </cell>
          <cell r="S142" t="str">
            <v>Cencosud Retail S.A.</v>
          </cell>
          <cell r="T142" t="str">
            <v/>
          </cell>
        </row>
        <row r="143">
          <cell r="C143" t="str">
            <v>T24C850001150</v>
          </cell>
          <cell r="D143" t="str">
            <v>A24C850001596</v>
          </cell>
          <cell r="E143">
            <v>6500000</v>
          </cell>
          <cell r="F143">
            <v>0</v>
          </cell>
          <cell r="G143" t="str">
            <v>Mobile Phone</v>
          </cell>
          <cell r="H143" t="str">
            <v>[2]HHP AON Q4 RETAIL CAMPAIGN 2024</v>
          </cell>
          <cell r="I143" t="str">
            <v>Completed</v>
          </cell>
          <cell r="J143" t="str">
            <v>m.lavanchy</v>
          </cell>
          <cell r="K143">
            <v>45566</v>
          </cell>
          <cell r="L143">
            <v>45657</v>
          </cell>
          <cell r="M143" t="str">
            <v>G1</v>
          </cell>
          <cell r="N143" t="str">
            <v>DIGITAL MEDIA</v>
          </cell>
          <cell r="O143" t="str">
            <v>A240</v>
          </cell>
          <cell r="P143" t="str">
            <v>SEARCH</v>
          </cell>
          <cell r="Q143" t="str">
            <v>2024</v>
          </cell>
          <cell r="R143" t="str">
            <v>FZX3JE</v>
          </cell>
          <cell r="S143" t="str">
            <v>Cencosud Retail S.A.</v>
          </cell>
          <cell r="T143" t="str">
            <v/>
          </cell>
        </row>
        <row r="144">
          <cell r="C144" t="str">
            <v>T24C850001150</v>
          </cell>
          <cell r="D144" t="str">
            <v>A24C850001596</v>
          </cell>
          <cell r="E144">
            <v>6500000</v>
          </cell>
          <cell r="F144">
            <v>0</v>
          </cell>
          <cell r="G144" t="str">
            <v>Mobile Phone</v>
          </cell>
          <cell r="H144" t="str">
            <v>[2]HHP AON Q4 RETAIL CAMPAIGN 2024</v>
          </cell>
          <cell r="I144" t="str">
            <v>Completed</v>
          </cell>
          <cell r="J144" t="str">
            <v>m.lavanchy</v>
          </cell>
          <cell r="K144">
            <v>45566</v>
          </cell>
          <cell r="L144">
            <v>45657</v>
          </cell>
          <cell r="M144" t="str">
            <v>G1</v>
          </cell>
          <cell r="N144" t="str">
            <v>DIGITAL MEDIA</v>
          </cell>
          <cell r="O144" t="str">
            <v>A230</v>
          </cell>
          <cell r="P144" t="str">
            <v>SOCIAL ADS</v>
          </cell>
          <cell r="Q144" t="str">
            <v>2024</v>
          </cell>
          <cell r="R144" t="str">
            <v>FZX3JE</v>
          </cell>
          <cell r="S144" t="str">
            <v>Cencosud Retail S.A.</v>
          </cell>
          <cell r="T144" t="str">
            <v/>
          </cell>
        </row>
        <row r="145">
          <cell r="C145" t="str">
            <v>T24C850001150</v>
          </cell>
          <cell r="D145" t="str">
            <v>A24C850001596</v>
          </cell>
          <cell r="E145">
            <v>5000000</v>
          </cell>
          <cell r="F145">
            <v>0</v>
          </cell>
          <cell r="G145" t="str">
            <v>Mobile Phone</v>
          </cell>
          <cell r="H145" t="str">
            <v>[2]HHP AON Q4 RETAIL CAMPAIGN 2024</v>
          </cell>
          <cell r="I145" t="str">
            <v>Completed</v>
          </cell>
          <cell r="J145" t="str">
            <v>m.lavanchy</v>
          </cell>
          <cell r="K145">
            <v>45566</v>
          </cell>
          <cell r="L145">
            <v>45657</v>
          </cell>
          <cell r="M145" t="str">
            <v>G1</v>
          </cell>
          <cell r="N145" t="str">
            <v>DIGITAL MEDIA</v>
          </cell>
          <cell r="O145" t="str">
            <v>A230</v>
          </cell>
          <cell r="P145" t="str">
            <v>SOCIAL ADS</v>
          </cell>
          <cell r="Q145" t="str">
            <v>2024</v>
          </cell>
          <cell r="R145" t="str">
            <v>FZX3JE</v>
          </cell>
          <cell r="S145" t="str">
            <v>Cencosud Retail S.A.</v>
          </cell>
          <cell r="T145" t="str">
            <v/>
          </cell>
        </row>
        <row r="146">
          <cell r="C146" t="str">
            <v>T24C850001150</v>
          </cell>
          <cell r="D146" t="str">
            <v>A24C850001596</v>
          </cell>
          <cell r="E146">
            <v>6500000</v>
          </cell>
          <cell r="F146">
            <v>0</v>
          </cell>
          <cell r="G146" t="str">
            <v>Mobile Phone</v>
          </cell>
          <cell r="H146" t="str">
            <v>[2]HHP AON Q4 RETAIL CAMPAIGN 2024</v>
          </cell>
          <cell r="I146" t="str">
            <v>Completed</v>
          </cell>
          <cell r="J146" t="str">
            <v>m.lavanchy</v>
          </cell>
          <cell r="K146">
            <v>45566</v>
          </cell>
          <cell r="L146">
            <v>45657</v>
          </cell>
          <cell r="M146" t="str">
            <v>G1</v>
          </cell>
          <cell r="N146" t="str">
            <v>DIGITAL MEDIA</v>
          </cell>
          <cell r="O146" t="str">
            <v>A230</v>
          </cell>
          <cell r="P146" t="str">
            <v>SOCIAL ADS</v>
          </cell>
          <cell r="Q146" t="str">
            <v>2024</v>
          </cell>
          <cell r="R146" t="str">
            <v>FZX3JE</v>
          </cell>
          <cell r="S146" t="str">
            <v>Cencosud Retail S.A.</v>
          </cell>
          <cell r="T146" t="str">
            <v/>
          </cell>
        </row>
        <row r="147">
          <cell r="C147" t="str">
            <v>T24C850001200</v>
          </cell>
          <cell r="D147" t="str">
            <v>A24C850001617</v>
          </cell>
          <cell r="E147">
            <v>2000000</v>
          </cell>
          <cell r="F147">
            <v>0</v>
          </cell>
          <cell r="G147" t="str">
            <v>Mobile Phone</v>
          </cell>
          <cell r="H147" t="str">
            <v>[2]SS WEEK HHP RETAILERS</v>
          </cell>
          <cell r="I147" t="str">
            <v>Completed</v>
          </cell>
          <cell r="J147" t="str">
            <v>m.lavanchy</v>
          </cell>
          <cell r="K147">
            <v>45577</v>
          </cell>
          <cell r="L147">
            <v>45657</v>
          </cell>
          <cell r="M147" t="str">
            <v>G1</v>
          </cell>
          <cell r="N147" t="str">
            <v>DIGITAL MEDIA</v>
          </cell>
          <cell r="O147" t="str">
            <v>A250</v>
          </cell>
          <cell r="P147" t="str">
            <v>DISPLAY</v>
          </cell>
          <cell r="Q147" t="str">
            <v>2024</v>
          </cell>
          <cell r="R147" t="str">
            <v>FZX3JE</v>
          </cell>
          <cell r="S147" t="str">
            <v>Cencosud Retail S.A.</v>
          </cell>
          <cell r="T147" t="str">
            <v/>
          </cell>
        </row>
        <row r="148">
          <cell r="C148" t="str">
            <v>T24C850001205</v>
          </cell>
          <cell r="D148" t="str">
            <v>A24C850001613</v>
          </cell>
          <cell r="E148">
            <v>2000000</v>
          </cell>
          <cell r="F148">
            <v>0</v>
          </cell>
          <cell r="G148" t="str">
            <v>Mobile Phone</v>
          </cell>
          <cell r="H148" t="str">
            <v>[2]HHP S24 FE LAUNCH CAMPAIGN RETAIL OCTOBER</v>
          </cell>
          <cell r="I148" t="str">
            <v>Completed</v>
          </cell>
          <cell r="J148" t="str">
            <v>m.lavanchy</v>
          </cell>
          <cell r="K148">
            <v>45577</v>
          </cell>
          <cell r="L148">
            <v>45657</v>
          </cell>
          <cell r="M148" t="str">
            <v>G1</v>
          </cell>
          <cell r="N148" t="str">
            <v>DIGITAL MEDIA</v>
          </cell>
          <cell r="O148" t="str">
            <v>A250</v>
          </cell>
          <cell r="P148" t="str">
            <v>DISPLAY</v>
          </cell>
          <cell r="Q148" t="str">
            <v>2024</v>
          </cell>
          <cell r="R148" t="str">
            <v>FZX3JE</v>
          </cell>
          <cell r="S148" t="str">
            <v>Cencosud Retail S.A.</v>
          </cell>
          <cell r="T148" t="str">
            <v/>
          </cell>
        </row>
        <row r="149">
          <cell r="C149" t="str">
            <v>T24C850001205</v>
          </cell>
          <cell r="D149" t="str">
            <v>A24C850001613</v>
          </cell>
          <cell r="E149">
            <v>2500000</v>
          </cell>
          <cell r="F149">
            <v>0</v>
          </cell>
          <cell r="G149" t="str">
            <v>Mobile Phone</v>
          </cell>
          <cell r="H149" t="str">
            <v>[2]HHP S24 FE LAUNCH CAMPAIGN RETAIL OCTOBER</v>
          </cell>
          <cell r="I149" t="str">
            <v>Completed</v>
          </cell>
          <cell r="J149" t="str">
            <v>m.lavanchy</v>
          </cell>
          <cell r="K149">
            <v>45577</v>
          </cell>
          <cell r="L149">
            <v>45657</v>
          </cell>
          <cell r="M149" t="str">
            <v>G1</v>
          </cell>
          <cell r="N149" t="str">
            <v>DIGITAL MEDIA</v>
          </cell>
          <cell r="O149" t="str">
            <v>A250</v>
          </cell>
          <cell r="P149" t="str">
            <v>DISPLAY</v>
          </cell>
          <cell r="Q149" t="str">
            <v>2024</v>
          </cell>
          <cell r="R149" t="str">
            <v>FZX3JE</v>
          </cell>
          <cell r="S149" t="str">
            <v>Cencosud Retail S.A.</v>
          </cell>
          <cell r="T149" t="str">
            <v/>
          </cell>
        </row>
        <row r="150">
          <cell r="C150" t="str">
            <v>T24C850001205</v>
          </cell>
          <cell r="D150" t="str">
            <v>A24C850001613</v>
          </cell>
          <cell r="E150">
            <v>2500000</v>
          </cell>
          <cell r="F150">
            <v>0</v>
          </cell>
          <cell r="G150" t="str">
            <v>Mobile Phone</v>
          </cell>
          <cell r="H150" t="str">
            <v>[2]HHP S24 FE LAUNCH CAMPAIGN RETAIL OCTOBER</v>
          </cell>
          <cell r="I150" t="str">
            <v>Completed</v>
          </cell>
          <cell r="J150" t="str">
            <v>m.lavanchy</v>
          </cell>
          <cell r="K150">
            <v>45577</v>
          </cell>
          <cell r="L150">
            <v>45657</v>
          </cell>
          <cell r="M150" t="str">
            <v>G1</v>
          </cell>
          <cell r="N150" t="str">
            <v>DIGITAL MEDIA</v>
          </cell>
          <cell r="O150" t="str">
            <v>A240</v>
          </cell>
          <cell r="P150" t="str">
            <v>SEARCH</v>
          </cell>
          <cell r="Q150" t="str">
            <v>2024</v>
          </cell>
          <cell r="R150" t="str">
            <v>FZX3JE</v>
          </cell>
          <cell r="S150" t="str">
            <v>Cencosud Retail S.A.</v>
          </cell>
          <cell r="T150" t="str">
            <v/>
          </cell>
        </row>
        <row r="151">
          <cell r="C151" t="str">
            <v>T24C850001205</v>
          </cell>
          <cell r="D151" t="str">
            <v>A24C850001613</v>
          </cell>
          <cell r="E151">
            <v>2000000</v>
          </cell>
          <cell r="F151">
            <v>0</v>
          </cell>
          <cell r="G151" t="str">
            <v>Mobile Phone</v>
          </cell>
          <cell r="H151" t="str">
            <v>[2]HHP S24 FE LAUNCH CAMPAIGN RETAIL OCTOBER</v>
          </cell>
          <cell r="I151" t="str">
            <v>Completed</v>
          </cell>
          <cell r="J151" t="str">
            <v>m.lavanchy</v>
          </cell>
          <cell r="K151">
            <v>45577</v>
          </cell>
          <cell r="L151">
            <v>45657</v>
          </cell>
          <cell r="M151" t="str">
            <v>G1</v>
          </cell>
          <cell r="N151" t="str">
            <v>DIGITAL MEDIA</v>
          </cell>
          <cell r="O151" t="str">
            <v>A240</v>
          </cell>
          <cell r="P151" t="str">
            <v>SEARCH</v>
          </cell>
          <cell r="Q151" t="str">
            <v>2024</v>
          </cell>
          <cell r="R151" t="str">
            <v>FZX3JE</v>
          </cell>
          <cell r="S151" t="str">
            <v>Cencosud Retail S.A.</v>
          </cell>
          <cell r="T151" t="str">
            <v/>
          </cell>
        </row>
        <row r="152">
          <cell r="C152" t="str">
            <v>T24C850001205</v>
          </cell>
          <cell r="D152" t="str">
            <v>A24C850001613</v>
          </cell>
          <cell r="E152">
            <v>2500000</v>
          </cell>
          <cell r="F152">
            <v>0</v>
          </cell>
          <cell r="G152" t="str">
            <v>Mobile Phone</v>
          </cell>
          <cell r="H152" t="str">
            <v>[2]HHP S24 FE LAUNCH CAMPAIGN RETAIL OCTOBER</v>
          </cell>
          <cell r="I152" t="str">
            <v>Completed</v>
          </cell>
          <cell r="J152" t="str">
            <v>m.lavanchy</v>
          </cell>
          <cell r="K152">
            <v>45577</v>
          </cell>
          <cell r="L152">
            <v>45657</v>
          </cell>
          <cell r="M152" t="str">
            <v>G1</v>
          </cell>
          <cell r="N152" t="str">
            <v>DIGITAL MEDIA</v>
          </cell>
          <cell r="O152" t="str">
            <v>A230</v>
          </cell>
          <cell r="P152" t="str">
            <v>SOCIAL ADS</v>
          </cell>
          <cell r="Q152" t="str">
            <v>2024</v>
          </cell>
          <cell r="R152" t="str">
            <v>FZX3JE</v>
          </cell>
          <cell r="S152" t="str">
            <v>Cencosud Retail S.A.</v>
          </cell>
          <cell r="T152" t="str">
            <v/>
          </cell>
        </row>
        <row r="153">
          <cell r="C153" t="str">
            <v>T24C850001205</v>
          </cell>
          <cell r="D153" t="str">
            <v>A24C850001613</v>
          </cell>
          <cell r="E153">
            <v>2000000</v>
          </cell>
          <cell r="F153">
            <v>0</v>
          </cell>
          <cell r="G153" t="str">
            <v>Mobile Phone</v>
          </cell>
          <cell r="H153" t="str">
            <v>[2]HHP S24 FE LAUNCH CAMPAIGN RETAIL OCTOBER</v>
          </cell>
          <cell r="I153" t="str">
            <v>Completed</v>
          </cell>
          <cell r="J153" t="str">
            <v>m.lavanchy</v>
          </cell>
          <cell r="K153">
            <v>45577</v>
          </cell>
          <cell r="L153">
            <v>45657</v>
          </cell>
          <cell r="M153" t="str">
            <v>G1</v>
          </cell>
          <cell r="N153" t="str">
            <v>DIGITAL MEDIA</v>
          </cell>
          <cell r="O153" t="str">
            <v>A230</v>
          </cell>
          <cell r="P153" t="str">
            <v>SOCIAL ADS</v>
          </cell>
          <cell r="Q153" t="str">
            <v>2024</v>
          </cell>
          <cell r="R153" t="str">
            <v>FZX3JE</v>
          </cell>
          <cell r="S153" t="str">
            <v>Cencosud Retail S.A.</v>
          </cell>
          <cell r="T153" t="str">
            <v/>
          </cell>
        </row>
        <row r="154">
          <cell r="C154" t="str">
            <v>T23C850000017</v>
          </cell>
          <cell r="D154" t="str">
            <v>A23C850000106</v>
          </cell>
          <cell r="E154">
            <v>-1500000</v>
          </cell>
          <cell r="F154">
            <v>0</v>
          </cell>
          <cell r="G154" t="str">
            <v>Mobile Phone</v>
          </cell>
          <cell r="H154" t="str">
            <v>[2]WEAR/M.HASBUN/RETAIL_MEDIA_ADVERTIZING_JANUARY_23</v>
          </cell>
          <cell r="I154" t="str">
            <v>Closed</v>
          </cell>
          <cell r="J154" t="str">
            <v>m.hasbun</v>
          </cell>
          <cell r="K154">
            <v>44932</v>
          </cell>
          <cell r="L154">
            <v>45016</v>
          </cell>
          <cell r="M154" t="str">
            <v>G1</v>
          </cell>
          <cell r="N154" t="str">
            <v>DIGITAL MEDIA</v>
          </cell>
          <cell r="O154" t="str">
            <v>A240</v>
          </cell>
          <cell r="P154" t="str">
            <v>SEARCH</v>
          </cell>
          <cell r="Q154" t="str">
            <v>2024</v>
          </cell>
          <cell r="R154" t="str">
            <v>L9YZ7E</v>
          </cell>
          <cell r="S154" t="str">
            <v>COMERCIAL ECCSA S A</v>
          </cell>
          <cell r="T154" t="str">
            <v/>
          </cell>
        </row>
        <row r="155">
          <cell r="C155" t="str">
            <v>T23C850000249</v>
          </cell>
          <cell r="D155" t="str">
            <v>A23C850000414</v>
          </cell>
          <cell r="E155">
            <v>-790146</v>
          </cell>
          <cell r="F155">
            <v>0</v>
          </cell>
          <cell r="G155" t="str">
            <v>Mobile Phone</v>
          </cell>
          <cell r="H155" t="str">
            <v>[3]HHP/M.HASBUN/RETAIL_MEDIA_ADVERTIZING_FEBRUARY_23</v>
          </cell>
          <cell r="I155" t="str">
            <v>Closed</v>
          </cell>
          <cell r="J155" t="str">
            <v>m.hasbun</v>
          </cell>
          <cell r="K155">
            <v>44964</v>
          </cell>
          <cell r="L155">
            <v>45046</v>
          </cell>
          <cell r="M155" t="str">
            <v>G1</v>
          </cell>
          <cell r="N155" t="str">
            <v>DIGITAL MEDIA</v>
          </cell>
          <cell r="O155" t="str">
            <v>A250</v>
          </cell>
          <cell r="P155" t="str">
            <v>DISPLAY</v>
          </cell>
          <cell r="Q155" t="str">
            <v>2024</v>
          </cell>
          <cell r="R155" t="str">
            <v>L9YZ7E</v>
          </cell>
          <cell r="S155" t="str">
            <v>COMERCIAL ECCSA S A</v>
          </cell>
          <cell r="T155" t="str">
            <v/>
          </cell>
        </row>
        <row r="156">
          <cell r="C156" t="str">
            <v>T23C850000249</v>
          </cell>
          <cell r="D156" t="str">
            <v>A23C850000414</v>
          </cell>
          <cell r="E156">
            <v>-29</v>
          </cell>
          <cell r="F156">
            <v>0</v>
          </cell>
          <cell r="G156" t="str">
            <v>Mobile Phone</v>
          </cell>
          <cell r="H156" t="str">
            <v>[3]HHP/M.HASBUN/RETAIL_MEDIA_ADVERTIZING_FEBRUARY_23</v>
          </cell>
          <cell r="I156" t="str">
            <v>Closed</v>
          </cell>
          <cell r="J156" t="str">
            <v>m.hasbun</v>
          </cell>
          <cell r="K156">
            <v>44964</v>
          </cell>
          <cell r="L156">
            <v>45046</v>
          </cell>
          <cell r="M156" t="str">
            <v>G1</v>
          </cell>
          <cell r="N156" t="str">
            <v>DIGITAL MEDIA</v>
          </cell>
          <cell r="O156" t="str">
            <v>A240</v>
          </cell>
          <cell r="P156" t="str">
            <v>SEARCH</v>
          </cell>
          <cell r="Q156" t="str">
            <v>2024</v>
          </cell>
          <cell r="R156" t="str">
            <v>L9YZ7E</v>
          </cell>
          <cell r="S156" t="str">
            <v>COMERCIAL ECCSA S A</v>
          </cell>
          <cell r="T156" t="str">
            <v/>
          </cell>
        </row>
        <row r="157">
          <cell r="C157" t="str">
            <v>T23C850000403</v>
          </cell>
          <cell r="D157" t="str">
            <v>A23C850000650</v>
          </cell>
          <cell r="E157">
            <v>-1500000</v>
          </cell>
          <cell r="F157">
            <v>0</v>
          </cell>
          <cell r="G157" t="str">
            <v>Computer</v>
          </cell>
          <cell r="H157" t="str">
            <v>[3]PLAN PROPOSAL MARCH 2023 NOTEPC RETAIL COMKTG</v>
          </cell>
          <cell r="I157" t="str">
            <v>Closed</v>
          </cell>
          <cell r="J157" t="str">
            <v>zapata.e</v>
          </cell>
          <cell r="K157">
            <v>44991</v>
          </cell>
          <cell r="L157">
            <v>45077</v>
          </cell>
          <cell r="M157" t="str">
            <v>C3</v>
          </cell>
          <cell r="N157" t="str">
            <v>DIGITAL MEDIA</v>
          </cell>
          <cell r="O157" t="str">
            <v>A230</v>
          </cell>
          <cell r="P157" t="str">
            <v>SOCIAL ADS</v>
          </cell>
          <cell r="Q157" t="str">
            <v>2024</v>
          </cell>
          <cell r="R157" t="str">
            <v>L9YZ7E</v>
          </cell>
          <cell r="S157" t="str">
            <v>COMERCIAL ECCSA S A</v>
          </cell>
          <cell r="T157" t="str">
            <v/>
          </cell>
        </row>
        <row r="158">
          <cell r="C158" t="str">
            <v>T23C850000486</v>
          </cell>
          <cell r="D158" t="str">
            <v>A23C850000768</v>
          </cell>
          <cell r="E158">
            <v>0</v>
          </cell>
          <cell r="F158">
            <v>1740438</v>
          </cell>
          <cell r="G158" t="str">
            <v>Computer</v>
          </cell>
          <cell r="H158" t="str">
            <v>[3]2ND PLAN PROPOSAL MARCH 2023 NOTE PC RETAIL COMKTG</v>
          </cell>
          <cell r="I158" t="str">
            <v>Closed</v>
          </cell>
          <cell r="J158" t="str">
            <v>zapata.e</v>
          </cell>
          <cell r="K158">
            <v>45012</v>
          </cell>
          <cell r="L158">
            <v>45104</v>
          </cell>
          <cell r="M158" t="str">
            <v>C3</v>
          </cell>
          <cell r="N158" t="str">
            <v>DIGITAL MEDIA</v>
          </cell>
          <cell r="O158" t="str">
            <v>A240</v>
          </cell>
          <cell r="P158" t="str">
            <v>SEARCH</v>
          </cell>
          <cell r="Q158" t="str">
            <v>2024</v>
          </cell>
          <cell r="R158" t="str">
            <v>L9YZ7E</v>
          </cell>
          <cell r="S158" t="str">
            <v>COMERCIAL ECCSA S A</v>
          </cell>
          <cell r="T158" t="str">
            <v/>
          </cell>
        </row>
        <row r="159">
          <cell r="C159" t="str">
            <v>T23C850000492</v>
          </cell>
          <cell r="D159" t="str">
            <v>A23C850000773</v>
          </cell>
          <cell r="E159">
            <v>0</v>
          </cell>
          <cell r="F159">
            <v>119135</v>
          </cell>
          <cell r="G159" t="str">
            <v>Mobile Phone</v>
          </cell>
          <cell r="H159" t="str">
            <v>[3]2ND PLAN PROPOSAL MARCH 2023 TABLET RETAIL COMKTG</v>
          </cell>
          <cell r="I159" t="str">
            <v>Closed</v>
          </cell>
          <cell r="J159" t="str">
            <v>zapata.e</v>
          </cell>
          <cell r="K159">
            <v>45012</v>
          </cell>
          <cell r="L159">
            <v>45104</v>
          </cell>
          <cell r="M159" t="str">
            <v>G1</v>
          </cell>
          <cell r="N159" t="str">
            <v>DIGITAL MEDIA</v>
          </cell>
          <cell r="O159" t="str">
            <v>A240</v>
          </cell>
          <cell r="P159" t="str">
            <v>SEARCH</v>
          </cell>
          <cell r="Q159" t="str">
            <v>2024</v>
          </cell>
          <cell r="R159" t="str">
            <v>L9YZ7E</v>
          </cell>
          <cell r="S159" t="str">
            <v>COMERCIAL ECCSA S A</v>
          </cell>
          <cell r="T159" t="str">
            <v/>
          </cell>
        </row>
        <row r="160">
          <cell r="C160" t="str">
            <v>T23C850000492</v>
          </cell>
          <cell r="D160" t="str">
            <v>A23C850000773</v>
          </cell>
          <cell r="E160">
            <v>-401687</v>
          </cell>
          <cell r="F160">
            <v>0</v>
          </cell>
          <cell r="G160" t="str">
            <v>Mobile Phone</v>
          </cell>
          <cell r="H160" t="str">
            <v>[3]2ND PLAN PROPOSAL MARCH 2023 TABLET RETAIL COMKTG</v>
          </cell>
          <cell r="I160" t="str">
            <v>Closed</v>
          </cell>
          <cell r="J160" t="str">
            <v>zapata.e</v>
          </cell>
          <cell r="K160">
            <v>45012</v>
          </cell>
          <cell r="L160">
            <v>45104</v>
          </cell>
          <cell r="M160" t="str">
            <v>G1</v>
          </cell>
          <cell r="N160" t="str">
            <v>DIGITAL MEDIA</v>
          </cell>
          <cell r="O160" t="str">
            <v>A240</v>
          </cell>
          <cell r="P160" t="str">
            <v>SEARCH</v>
          </cell>
          <cell r="Q160" t="str">
            <v>2024</v>
          </cell>
          <cell r="R160" t="str">
            <v>L9YZ7E</v>
          </cell>
          <cell r="S160" t="str">
            <v>COMERCIAL ECCSA S A</v>
          </cell>
          <cell r="T160" t="str">
            <v/>
          </cell>
        </row>
        <row r="161">
          <cell r="C161" t="str">
            <v>T23C850000501</v>
          </cell>
          <cell r="D161" t="str">
            <v>A23C850000772</v>
          </cell>
          <cell r="E161">
            <v>-1162877</v>
          </cell>
          <cell r="F161">
            <v>0</v>
          </cell>
          <cell r="G161" t="str">
            <v>Mobile Phone</v>
          </cell>
          <cell r="H161" t="str">
            <v>[3]2ND PLAN PROPOSAL MARCH 2023 WEARABLE RETAIL COMKTG</v>
          </cell>
          <cell r="I161" t="str">
            <v>Closed</v>
          </cell>
          <cell r="J161" t="str">
            <v>zapata.e</v>
          </cell>
          <cell r="K161">
            <v>45012</v>
          </cell>
          <cell r="L161">
            <v>45104</v>
          </cell>
          <cell r="M161" t="str">
            <v>G1</v>
          </cell>
          <cell r="N161" t="str">
            <v>DIGITAL MEDIA</v>
          </cell>
          <cell r="O161" t="str">
            <v>A250</v>
          </cell>
          <cell r="P161" t="str">
            <v>DISPLAY</v>
          </cell>
          <cell r="Q161" t="str">
            <v>2024</v>
          </cell>
          <cell r="R161" t="str">
            <v>L9YZ7E</v>
          </cell>
          <cell r="S161" t="str">
            <v>COMERCIAL ECCSA S A</v>
          </cell>
          <cell r="T161" t="str">
            <v/>
          </cell>
        </row>
        <row r="162">
          <cell r="C162" t="str">
            <v>T23C850000510</v>
          </cell>
          <cell r="D162" t="str">
            <v>A23C850000776</v>
          </cell>
          <cell r="E162">
            <v>-266517</v>
          </cell>
          <cell r="F162">
            <v>0</v>
          </cell>
          <cell r="G162" t="str">
            <v>Mobile Phone</v>
          </cell>
          <cell r="H162" t="str">
            <v>[3]2ND PLAN PROPOSAL MARCH 2023 HHP RETAIL COMKTG</v>
          </cell>
          <cell r="I162" t="str">
            <v>Closed</v>
          </cell>
          <cell r="J162" t="str">
            <v>zapata.e</v>
          </cell>
          <cell r="K162">
            <v>45012</v>
          </cell>
          <cell r="L162">
            <v>45104</v>
          </cell>
          <cell r="M162" t="str">
            <v>G1</v>
          </cell>
          <cell r="N162" t="str">
            <v>DIGITAL MEDIA</v>
          </cell>
          <cell r="O162" t="str">
            <v>A240</v>
          </cell>
          <cell r="P162" t="str">
            <v>SEARCH</v>
          </cell>
          <cell r="Q162" t="str">
            <v>2024</v>
          </cell>
          <cell r="R162" t="str">
            <v>L9YZ7E</v>
          </cell>
          <cell r="S162" t="str">
            <v>COMERCIAL ECCSA S A</v>
          </cell>
          <cell r="T162" t="str">
            <v/>
          </cell>
        </row>
        <row r="163">
          <cell r="C163" t="str">
            <v>T23C850000657</v>
          </cell>
          <cell r="D163" t="str">
            <v>A23C850000908</v>
          </cell>
          <cell r="E163">
            <v>-2000000</v>
          </cell>
          <cell r="F163">
            <v>0</v>
          </cell>
          <cell r="G163" t="str">
            <v>Mobile Phone</v>
          </cell>
          <cell r="H163" t="str">
            <v>[3]PLAN PROPOSAL APRIL 2023 ACCESSORY RETAIL Q2_COMKTG</v>
          </cell>
          <cell r="I163" t="str">
            <v>Closed</v>
          </cell>
          <cell r="J163" t="str">
            <v>zapata.e</v>
          </cell>
          <cell r="K163">
            <v>45027</v>
          </cell>
          <cell r="L163">
            <v>45137</v>
          </cell>
          <cell r="M163" t="str">
            <v>G1</v>
          </cell>
          <cell r="N163" t="str">
            <v>DIGITAL MEDIA</v>
          </cell>
          <cell r="O163" t="str">
            <v>A240</v>
          </cell>
          <cell r="P163" t="str">
            <v>SEARCH</v>
          </cell>
          <cell r="Q163" t="str">
            <v>2024</v>
          </cell>
          <cell r="R163" t="str">
            <v>L9YZ7E</v>
          </cell>
          <cell r="S163" t="str">
            <v>COMERCIAL ECCSA S A</v>
          </cell>
          <cell r="T163" t="str">
            <v/>
          </cell>
        </row>
        <row r="164">
          <cell r="C164" t="str">
            <v>T23C850000660</v>
          </cell>
          <cell r="D164" t="str">
            <v>A23C850000923</v>
          </cell>
          <cell r="E164">
            <v>-1576683</v>
          </cell>
          <cell r="F164">
            <v>0</v>
          </cell>
          <cell r="G164" t="str">
            <v>Mobile Phone</v>
          </cell>
          <cell r="H164" t="str">
            <v>[3]PLAN PROPOSAL APRIL 2023 WEARABLE RETAIL Q2_COMKTG</v>
          </cell>
          <cell r="I164" t="str">
            <v>Closed</v>
          </cell>
          <cell r="J164" t="str">
            <v>zapata.e</v>
          </cell>
          <cell r="K164">
            <v>45027</v>
          </cell>
          <cell r="L164">
            <v>45137</v>
          </cell>
          <cell r="M164" t="str">
            <v>G1</v>
          </cell>
          <cell r="N164" t="str">
            <v>DIGITAL MEDIA</v>
          </cell>
          <cell r="O164" t="str">
            <v>A240</v>
          </cell>
          <cell r="P164" t="str">
            <v>SEARCH</v>
          </cell>
          <cell r="Q164" t="str">
            <v>2024</v>
          </cell>
          <cell r="R164" t="str">
            <v>L9YZ7E</v>
          </cell>
          <cell r="S164" t="str">
            <v>COMERCIAL ECCSA S A</v>
          </cell>
          <cell r="T164" t="str">
            <v/>
          </cell>
        </row>
        <row r="165">
          <cell r="C165" t="str">
            <v>T23C850001075</v>
          </cell>
          <cell r="D165" t="str">
            <v>A23C850001625</v>
          </cell>
          <cell r="E165">
            <v>-1311339</v>
          </cell>
          <cell r="F165">
            <v>0</v>
          </cell>
          <cell r="G165" t="str">
            <v>Mobile Phone</v>
          </cell>
          <cell r="H165" t="str">
            <v>[3]SMARTPHONES/ONLINE/JULY_RETAIL.COM_23</v>
          </cell>
          <cell r="I165" t="str">
            <v>Closed</v>
          </cell>
          <cell r="J165" t="str">
            <v>sjara.mella</v>
          </cell>
          <cell r="K165">
            <v>45128</v>
          </cell>
          <cell r="L165">
            <v>45199</v>
          </cell>
          <cell r="M165" t="str">
            <v>G1</v>
          </cell>
          <cell r="N165" t="str">
            <v>DIGITAL MEDIA</v>
          </cell>
          <cell r="O165" t="str">
            <v>A240</v>
          </cell>
          <cell r="P165" t="str">
            <v>SEARCH</v>
          </cell>
          <cell r="Q165" t="str">
            <v>2024</v>
          </cell>
          <cell r="R165" t="str">
            <v>L9YZ7E</v>
          </cell>
          <cell r="S165" t="str">
            <v>COMERCIAL ECCSA S A</v>
          </cell>
          <cell r="T165" t="str">
            <v/>
          </cell>
        </row>
        <row r="166">
          <cell r="C166" t="str">
            <v>T23C850001211</v>
          </cell>
          <cell r="D166" t="str">
            <v>A23C850001827</v>
          </cell>
          <cell r="E166">
            <v>0</v>
          </cell>
          <cell r="F166">
            <v>1500000</v>
          </cell>
          <cell r="G166" t="str">
            <v>Mobile Phone</v>
          </cell>
          <cell r="H166" t="str">
            <v>[3]ALWAYS ON HHP RETAIL.COM CAMPAIGN AUGUST</v>
          </cell>
          <cell r="I166" t="str">
            <v>Closed</v>
          </cell>
          <cell r="J166" t="str">
            <v>sjara.mella</v>
          </cell>
          <cell r="K166">
            <v>45146</v>
          </cell>
          <cell r="L166">
            <v>45230</v>
          </cell>
          <cell r="M166" t="str">
            <v>G1</v>
          </cell>
          <cell r="N166" t="str">
            <v>DIGITAL MEDIA</v>
          </cell>
          <cell r="O166" t="str">
            <v>A250</v>
          </cell>
          <cell r="P166" t="str">
            <v>DISPLAY</v>
          </cell>
          <cell r="Q166" t="str">
            <v>2024</v>
          </cell>
          <cell r="R166" t="str">
            <v>L9YZ7E</v>
          </cell>
          <cell r="S166" t="str">
            <v>COMERCIAL ECCSA S A</v>
          </cell>
          <cell r="T166" t="str">
            <v/>
          </cell>
        </row>
        <row r="167">
          <cell r="C167" t="str">
            <v>T23C850001211</v>
          </cell>
          <cell r="D167" t="str">
            <v>A23C850001827</v>
          </cell>
          <cell r="E167">
            <v>0</v>
          </cell>
          <cell r="F167">
            <v>772441</v>
          </cell>
          <cell r="G167" t="str">
            <v>Mobile Phone</v>
          </cell>
          <cell r="H167" t="str">
            <v>[3]ALWAYS ON HHP RETAIL.COM CAMPAIGN AUGUST</v>
          </cell>
          <cell r="I167" t="str">
            <v>Closed</v>
          </cell>
          <cell r="J167" t="str">
            <v>sjara.mella</v>
          </cell>
          <cell r="K167">
            <v>45146</v>
          </cell>
          <cell r="L167">
            <v>45230</v>
          </cell>
          <cell r="M167" t="str">
            <v>G1</v>
          </cell>
          <cell r="N167" t="str">
            <v>DIGITAL MEDIA</v>
          </cell>
          <cell r="O167" t="str">
            <v>A240</v>
          </cell>
          <cell r="P167" t="str">
            <v>SEARCH</v>
          </cell>
          <cell r="Q167" t="str">
            <v>2024</v>
          </cell>
          <cell r="R167" t="str">
            <v>L9YZ7E</v>
          </cell>
          <cell r="S167" t="str">
            <v>COMERCIAL ECCSA S A</v>
          </cell>
          <cell r="T167" t="str">
            <v/>
          </cell>
        </row>
        <row r="168">
          <cell r="C168" t="str">
            <v>T23C850001339</v>
          </cell>
          <cell r="D168" t="str">
            <v>A23C850001961</v>
          </cell>
          <cell r="E168">
            <v>0</v>
          </cell>
          <cell r="F168">
            <v>3083202</v>
          </cell>
          <cell r="G168" t="str">
            <v>Mobile Phone</v>
          </cell>
          <cell r="H168" t="str">
            <v>[3]B5Q5 RETAIL HHP SEPTEMBER CAMPAIGN</v>
          </cell>
          <cell r="I168" t="str">
            <v>Closed</v>
          </cell>
          <cell r="J168" t="str">
            <v>sjara.mella</v>
          </cell>
          <cell r="K168">
            <v>45170</v>
          </cell>
          <cell r="L168">
            <v>45230</v>
          </cell>
          <cell r="M168" t="str">
            <v>G1</v>
          </cell>
          <cell r="N168" t="str">
            <v>DIGITAL MEDIA</v>
          </cell>
          <cell r="O168" t="str">
            <v>A250</v>
          </cell>
          <cell r="P168" t="str">
            <v>DISPLAY</v>
          </cell>
          <cell r="Q168" t="str">
            <v>2024</v>
          </cell>
          <cell r="R168" t="str">
            <v>L9YZ7E</v>
          </cell>
          <cell r="S168" t="str">
            <v>COMERCIAL ECCSA S A</v>
          </cell>
          <cell r="T168" t="str">
            <v/>
          </cell>
        </row>
        <row r="169">
          <cell r="C169" t="str">
            <v>T23C850001339</v>
          </cell>
          <cell r="D169" t="str">
            <v>A23C850001961</v>
          </cell>
          <cell r="E169">
            <v>-500000</v>
          </cell>
          <cell r="F169">
            <v>0</v>
          </cell>
          <cell r="G169" t="str">
            <v>Mobile Phone</v>
          </cell>
          <cell r="H169" t="str">
            <v>[3]B5Q5 RETAIL HHP SEPTEMBER CAMPAIGN</v>
          </cell>
          <cell r="I169" t="str">
            <v>Closed</v>
          </cell>
          <cell r="J169" t="str">
            <v>sjara.mella</v>
          </cell>
          <cell r="K169">
            <v>45170</v>
          </cell>
          <cell r="L169">
            <v>45230</v>
          </cell>
          <cell r="M169" t="str">
            <v>G1</v>
          </cell>
          <cell r="N169" t="str">
            <v>DIGITAL MEDIA</v>
          </cell>
          <cell r="O169" t="str">
            <v>A250</v>
          </cell>
          <cell r="P169" t="str">
            <v>DISPLAY</v>
          </cell>
          <cell r="Q169" t="str">
            <v>2024</v>
          </cell>
          <cell r="R169" t="str">
            <v>L9YZ7E</v>
          </cell>
          <cell r="S169" t="str">
            <v>COMERCIAL ECCSA S A</v>
          </cell>
          <cell r="T169" t="str">
            <v/>
          </cell>
        </row>
        <row r="170">
          <cell r="C170" t="str">
            <v>T23C850001339</v>
          </cell>
          <cell r="D170" t="str">
            <v>A23C850001961</v>
          </cell>
          <cell r="E170">
            <v>0</v>
          </cell>
          <cell r="F170">
            <v>2000000</v>
          </cell>
          <cell r="G170" t="str">
            <v>Mobile Phone</v>
          </cell>
          <cell r="H170" t="str">
            <v>[3]B5Q5 RETAIL HHP SEPTEMBER CAMPAIGN</v>
          </cell>
          <cell r="I170" t="str">
            <v>Closed</v>
          </cell>
          <cell r="J170" t="str">
            <v>sjara.mella</v>
          </cell>
          <cell r="K170">
            <v>45170</v>
          </cell>
          <cell r="L170">
            <v>45230</v>
          </cell>
          <cell r="M170" t="str">
            <v>G1</v>
          </cell>
          <cell r="N170" t="str">
            <v>DIGITAL MEDIA</v>
          </cell>
          <cell r="O170" t="str">
            <v>A240</v>
          </cell>
          <cell r="P170" t="str">
            <v>SEARCH</v>
          </cell>
          <cell r="Q170" t="str">
            <v>2024</v>
          </cell>
          <cell r="R170" t="str">
            <v>L9YZ7E</v>
          </cell>
          <cell r="S170" t="str">
            <v>COMERCIAL ECCSA S A</v>
          </cell>
          <cell r="T170" t="str">
            <v/>
          </cell>
        </row>
        <row r="171">
          <cell r="C171" t="str">
            <v>T23C850001339</v>
          </cell>
          <cell r="D171" t="str">
            <v>A23C850001961</v>
          </cell>
          <cell r="E171">
            <v>0</v>
          </cell>
          <cell r="F171">
            <v>4000000</v>
          </cell>
          <cell r="G171" t="str">
            <v>Mobile Phone</v>
          </cell>
          <cell r="H171" t="str">
            <v>[3]B5Q5 RETAIL HHP SEPTEMBER CAMPAIGN</v>
          </cell>
          <cell r="I171" t="str">
            <v>Closed</v>
          </cell>
          <cell r="J171" t="str">
            <v>sjara.mella</v>
          </cell>
          <cell r="K171">
            <v>45170</v>
          </cell>
          <cell r="L171">
            <v>45230</v>
          </cell>
          <cell r="M171" t="str">
            <v>G1</v>
          </cell>
          <cell r="N171" t="str">
            <v>TRADITIONAL MEDIA</v>
          </cell>
          <cell r="O171" t="str">
            <v>A130</v>
          </cell>
          <cell r="P171" t="str">
            <v>ADS NEWSPAPER</v>
          </cell>
          <cell r="Q171" t="str">
            <v>2024</v>
          </cell>
          <cell r="R171" t="str">
            <v>L9YZ7E</v>
          </cell>
          <cell r="S171" t="str">
            <v>COMERCIAL ECCSA S A</v>
          </cell>
          <cell r="T171" t="str">
            <v/>
          </cell>
        </row>
        <row r="172">
          <cell r="C172" t="str">
            <v>T23C850001339</v>
          </cell>
          <cell r="D172" t="str">
            <v>A23C850001961</v>
          </cell>
          <cell r="E172">
            <v>-3000000</v>
          </cell>
          <cell r="F172">
            <v>0</v>
          </cell>
          <cell r="G172" t="str">
            <v>Mobile Phone</v>
          </cell>
          <cell r="H172" t="str">
            <v>[3]B5Q5 RETAIL HHP SEPTEMBER CAMPAIGN</v>
          </cell>
          <cell r="I172" t="str">
            <v>Closed</v>
          </cell>
          <cell r="J172" t="str">
            <v>sjara.mella</v>
          </cell>
          <cell r="K172">
            <v>45170</v>
          </cell>
          <cell r="L172">
            <v>45230</v>
          </cell>
          <cell r="M172" t="str">
            <v>G1</v>
          </cell>
          <cell r="N172" t="str">
            <v>TRADITIONAL MEDIA</v>
          </cell>
          <cell r="O172" t="str">
            <v>A130</v>
          </cell>
          <cell r="P172" t="str">
            <v>ADS NEWSPAPER</v>
          </cell>
          <cell r="Q172" t="str">
            <v>2024</v>
          </cell>
          <cell r="R172" t="str">
            <v>L9YZ7E</v>
          </cell>
          <cell r="S172" t="str">
            <v>COMERCIAL ECCSA S A</v>
          </cell>
          <cell r="T172" t="str">
            <v/>
          </cell>
        </row>
        <row r="173">
          <cell r="C173" t="str">
            <v>T23C850001352</v>
          </cell>
          <cell r="D173" t="str">
            <v>A23C850002003</v>
          </cell>
          <cell r="E173">
            <v>0</v>
          </cell>
          <cell r="F173">
            <v>8066408</v>
          </cell>
          <cell r="G173" t="str">
            <v>Mobile Phone</v>
          </cell>
          <cell r="H173" t="str">
            <v>[1]PROMOTION PLAN Q5B5 RIPLEY</v>
          </cell>
          <cell r="I173" t="str">
            <v>Closed</v>
          </cell>
          <cell r="J173" t="str">
            <v>r.gonzalezs</v>
          </cell>
          <cell r="K173">
            <v>45160</v>
          </cell>
          <cell r="L173">
            <v>45199</v>
          </cell>
          <cell r="M173" t="str">
            <v>G1</v>
          </cell>
          <cell r="N173" t="str">
            <v>DIGITAL MEDIA</v>
          </cell>
          <cell r="O173" t="str">
            <v>A250</v>
          </cell>
          <cell r="P173" t="str">
            <v>DISPLAY</v>
          </cell>
          <cell r="Q173" t="str">
            <v>2024</v>
          </cell>
          <cell r="R173" t="str">
            <v>L9YZ7E</v>
          </cell>
          <cell r="S173" t="str">
            <v>COMERCIAL ECCSA S A</v>
          </cell>
          <cell r="T173" t="str">
            <v/>
          </cell>
        </row>
        <row r="174">
          <cell r="C174" t="str">
            <v>T23C850001352</v>
          </cell>
          <cell r="D174" t="str">
            <v>A23C850002003</v>
          </cell>
          <cell r="E174">
            <v>0</v>
          </cell>
          <cell r="F174">
            <v>879024</v>
          </cell>
          <cell r="G174" t="str">
            <v>Mobile Phone</v>
          </cell>
          <cell r="H174" t="str">
            <v>[1]PROMOTION PLAN Q5B5 RIPLEY</v>
          </cell>
          <cell r="I174" t="str">
            <v>Closed</v>
          </cell>
          <cell r="J174" t="str">
            <v>r.gonzalezs</v>
          </cell>
          <cell r="K174">
            <v>45160</v>
          </cell>
          <cell r="L174">
            <v>45199</v>
          </cell>
          <cell r="M174" t="str">
            <v>G1</v>
          </cell>
          <cell r="N174" t="str">
            <v>DIGITAL MEDIA</v>
          </cell>
          <cell r="O174" t="str">
            <v>A230</v>
          </cell>
          <cell r="P174" t="str">
            <v>SOCIAL ADS</v>
          </cell>
          <cell r="Q174" t="str">
            <v>2024</v>
          </cell>
          <cell r="R174" t="str">
            <v>L9YZ7E</v>
          </cell>
          <cell r="S174" t="str">
            <v>COMERCIAL ECCSA S A</v>
          </cell>
          <cell r="T174" t="str">
            <v/>
          </cell>
        </row>
        <row r="175">
          <cell r="C175" t="str">
            <v>T23C850001352</v>
          </cell>
          <cell r="D175" t="str">
            <v>A23C850002003</v>
          </cell>
          <cell r="E175">
            <v>0</v>
          </cell>
          <cell r="F175">
            <v>4000000</v>
          </cell>
          <cell r="G175" t="str">
            <v>Mobile Phone</v>
          </cell>
          <cell r="H175" t="str">
            <v>[1]PROMOTION PLAN Q5B5 RIPLEY</v>
          </cell>
          <cell r="I175" t="str">
            <v>Closed</v>
          </cell>
          <cell r="J175" t="str">
            <v>r.gonzalezs</v>
          </cell>
          <cell r="K175">
            <v>45160</v>
          </cell>
          <cell r="L175">
            <v>45199</v>
          </cell>
          <cell r="M175" t="str">
            <v>G1</v>
          </cell>
          <cell r="N175" t="str">
            <v>TRADITIONAL MEDIA</v>
          </cell>
          <cell r="O175" t="str">
            <v>A130</v>
          </cell>
          <cell r="P175" t="str">
            <v>ADS NEWSPAPER</v>
          </cell>
          <cell r="Q175" t="str">
            <v>2024</v>
          </cell>
          <cell r="R175" t="str">
            <v>L9YZ7E</v>
          </cell>
          <cell r="S175" t="str">
            <v>COMERCIAL ECCSA S A</v>
          </cell>
          <cell r="T175" t="str">
            <v/>
          </cell>
        </row>
        <row r="176">
          <cell r="C176" t="str">
            <v>T23C850001413</v>
          </cell>
          <cell r="D176" t="str">
            <v>A23C850002080</v>
          </cell>
          <cell r="E176">
            <v>0</v>
          </cell>
          <cell r="F176">
            <v>1500000</v>
          </cell>
          <cell r="G176" t="str">
            <v>Mobile Phone</v>
          </cell>
          <cell r="H176" t="str">
            <v>[3]ALWAYS ON HHP RETAIL.COM CAMPAIGN SEPTEMBER</v>
          </cell>
          <cell r="I176" t="str">
            <v>Closed</v>
          </cell>
          <cell r="J176" t="str">
            <v>sjara.mella</v>
          </cell>
          <cell r="K176">
            <v>45190</v>
          </cell>
          <cell r="L176">
            <v>45260</v>
          </cell>
          <cell r="M176" t="str">
            <v>G1</v>
          </cell>
          <cell r="N176" t="str">
            <v>DIGITAL MEDIA</v>
          </cell>
          <cell r="O176" t="str">
            <v>A250</v>
          </cell>
          <cell r="P176" t="str">
            <v>DISPLAY</v>
          </cell>
          <cell r="Q176" t="str">
            <v>2024</v>
          </cell>
          <cell r="R176" t="str">
            <v>L9YZ7E</v>
          </cell>
          <cell r="S176" t="str">
            <v>COMERCIAL ECCSA S A</v>
          </cell>
          <cell r="T176" t="str">
            <v/>
          </cell>
        </row>
        <row r="177">
          <cell r="C177" t="str">
            <v>T23C850001413</v>
          </cell>
          <cell r="D177" t="str">
            <v>A23C850002080</v>
          </cell>
          <cell r="E177">
            <v>0</v>
          </cell>
          <cell r="F177">
            <v>3782127</v>
          </cell>
          <cell r="G177" t="str">
            <v>Mobile Phone</v>
          </cell>
          <cell r="H177" t="str">
            <v>[3]ALWAYS ON HHP RETAIL.COM CAMPAIGN SEPTEMBER</v>
          </cell>
          <cell r="I177" t="str">
            <v>Closed</v>
          </cell>
          <cell r="J177" t="str">
            <v>sjara.mella</v>
          </cell>
          <cell r="K177">
            <v>45190</v>
          </cell>
          <cell r="L177">
            <v>45260</v>
          </cell>
          <cell r="M177" t="str">
            <v>G1</v>
          </cell>
          <cell r="N177" t="str">
            <v>DIGITAL MEDIA</v>
          </cell>
          <cell r="O177" t="str">
            <v>A240</v>
          </cell>
          <cell r="P177" t="str">
            <v>SEARCH</v>
          </cell>
          <cell r="Q177" t="str">
            <v>2024</v>
          </cell>
          <cell r="R177" t="str">
            <v>L9YZ7E</v>
          </cell>
          <cell r="S177" t="str">
            <v>COMERCIAL ECCSA S A</v>
          </cell>
          <cell r="T177" t="str">
            <v/>
          </cell>
        </row>
        <row r="178">
          <cell r="C178" t="str">
            <v>T23C850001413</v>
          </cell>
          <cell r="D178" t="str">
            <v>A23C850002080</v>
          </cell>
          <cell r="E178">
            <v>0</v>
          </cell>
          <cell r="F178">
            <v>1400000</v>
          </cell>
          <cell r="G178" t="str">
            <v>Mobile Phone</v>
          </cell>
          <cell r="H178" t="str">
            <v>[3]ALWAYS ON HHP RETAIL.COM CAMPAIGN SEPTEMBER</v>
          </cell>
          <cell r="I178" t="str">
            <v>Closed</v>
          </cell>
          <cell r="J178" t="str">
            <v>sjara.mella</v>
          </cell>
          <cell r="K178">
            <v>45190</v>
          </cell>
          <cell r="L178">
            <v>45260</v>
          </cell>
          <cell r="M178" t="str">
            <v>G1</v>
          </cell>
          <cell r="N178" t="str">
            <v>DIGITAL MEDIA</v>
          </cell>
          <cell r="O178" t="str">
            <v>A240</v>
          </cell>
          <cell r="P178" t="str">
            <v>SEARCH</v>
          </cell>
          <cell r="Q178" t="str">
            <v>2024</v>
          </cell>
          <cell r="R178" t="str">
            <v>L9YZ7E</v>
          </cell>
          <cell r="S178" t="str">
            <v>COMERCIAL ECCSA S A</v>
          </cell>
          <cell r="T178" t="str">
            <v/>
          </cell>
        </row>
        <row r="179">
          <cell r="C179" t="str">
            <v>T23C850001413</v>
          </cell>
          <cell r="D179" t="str">
            <v>A23C850002080</v>
          </cell>
          <cell r="E179">
            <v>-217873</v>
          </cell>
          <cell r="F179">
            <v>0</v>
          </cell>
          <cell r="G179" t="str">
            <v>Mobile Phone</v>
          </cell>
          <cell r="H179" t="str">
            <v>[3]ALWAYS ON HHP RETAIL.COM CAMPAIGN SEPTEMBER</v>
          </cell>
          <cell r="I179" t="str">
            <v>Closed</v>
          </cell>
          <cell r="J179" t="str">
            <v>sjara.mella</v>
          </cell>
          <cell r="K179">
            <v>45190</v>
          </cell>
          <cell r="L179">
            <v>45260</v>
          </cell>
          <cell r="M179" t="str">
            <v>G1</v>
          </cell>
          <cell r="N179" t="str">
            <v>DIGITAL MEDIA</v>
          </cell>
          <cell r="O179" t="str">
            <v>A240</v>
          </cell>
          <cell r="P179" t="str">
            <v>SEARCH</v>
          </cell>
          <cell r="Q179" t="str">
            <v>2024</v>
          </cell>
          <cell r="R179" t="str">
            <v>L9YZ7E</v>
          </cell>
          <cell r="S179" t="str">
            <v>COMERCIAL ECCSA S A</v>
          </cell>
          <cell r="T179" t="str">
            <v/>
          </cell>
        </row>
        <row r="180">
          <cell r="C180" t="str">
            <v>T23C850001413</v>
          </cell>
          <cell r="D180" t="str">
            <v>A23C850002080</v>
          </cell>
          <cell r="E180">
            <v>0</v>
          </cell>
          <cell r="F180">
            <v>2100000</v>
          </cell>
          <cell r="G180" t="str">
            <v>Mobile Phone</v>
          </cell>
          <cell r="H180" t="str">
            <v>[3]ALWAYS ON HHP RETAIL.COM CAMPAIGN SEPTEMBER</v>
          </cell>
          <cell r="I180" t="str">
            <v>Closed</v>
          </cell>
          <cell r="J180" t="str">
            <v>sjara.mella</v>
          </cell>
          <cell r="K180">
            <v>45190</v>
          </cell>
          <cell r="L180">
            <v>45260</v>
          </cell>
          <cell r="M180" t="str">
            <v>G1</v>
          </cell>
          <cell r="N180" t="str">
            <v>DIGITAL MEDIA</v>
          </cell>
          <cell r="O180" t="str">
            <v>A230</v>
          </cell>
          <cell r="P180" t="str">
            <v>SOCIAL ADS</v>
          </cell>
          <cell r="Q180" t="str">
            <v>2024</v>
          </cell>
          <cell r="R180" t="str">
            <v>L9YZ7E</v>
          </cell>
          <cell r="S180" t="str">
            <v>COMERCIAL ECCSA S A</v>
          </cell>
          <cell r="T180" t="str">
            <v/>
          </cell>
        </row>
        <row r="181">
          <cell r="C181" t="str">
            <v>T23C850001500</v>
          </cell>
          <cell r="D181" t="str">
            <v>A23C850002189</v>
          </cell>
          <cell r="E181">
            <v>0</v>
          </cell>
          <cell r="F181">
            <v>1700000</v>
          </cell>
          <cell r="G181" t="str">
            <v>Mobile Phone</v>
          </cell>
          <cell r="H181" t="str">
            <v>[3]WRBLS/RETAIL/Q4 CAMPAIGNS</v>
          </cell>
          <cell r="I181" t="str">
            <v>Closed</v>
          </cell>
          <cell r="J181" t="str">
            <v>j.albornoz</v>
          </cell>
          <cell r="K181">
            <v>45200</v>
          </cell>
          <cell r="L181">
            <v>45291</v>
          </cell>
          <cell r="M181" t="str">
            <v>G1</v>
          </cell>
          <cell r="N181" t="str">
            <v>DIGITAL MEDIA</v>
          </cell>
          <cell r="O181" t="str">
            <v>A250</v>
          </cell>
          <cell r="P181" t="str">
            <v>DISPLAY</v>
          </cell>
          <cell r="Q181" t="str">
            <v>2024</v>
          </cell>
          <cell r="R181" t="str">
            <v>L9YZ7E</v>
          </cell>
          <cell r="S181" t="str">
            <v>COMERCIAL ECCSA S A</v>
          </cell>
          <cell r="T181" t="str">
            <v/>
          </cell>
        </row>
        <row r="182">
          <cell r="C182" t="str">
            <v>T23C850001500</v>
          </cell>
          <cell r="D182" t="str">
            <v>A23C850002189</v>
          </cell>
          <cell r="E182">
            <v>0</v>
          </cell>
          <cell r="F182">
            <v>3380000</v>
          </cell>
          <cell r="G182" t="str">
            <v>Mobile Phone</v>
          </cell>
          <cell r="H182" t="str">
            <v>[3]WRBLS/RETAIL/Q4 CAMPAIGNS</v>
          </cell>
          <cell r="I182" t="str">
            <v>Closed</v>
          </cell>
          <cell r="J182" t="str">
            <v>j.albornoz</v>
          </cell>
          <cell r="K182">
            <v>45200</v>
          </cell>
          <cell r="L182">
            <v>45291</v>
          </cell>
          <cell r="M182" t="str">
            <v>G1</v>
          </cell>
          <cell r="N182" t="str">
            <v>DIGITAL MEDIA</v>
          </cell>
          <cell r="O182" t="str">
            <v>A240</v>
          </cell>
          <cell r="P182" t="str">
            <v>SEARCH</v>
          </cell>
          <cell r="Q182" t="str">
            <v>2024</v>
          </cell>
          <cell r="R182" t="str">
            <v>L9YZ7E</v>
          </cell>
          <cell r="S182" t="str">
            <v>COMERCIAL ECCSA S A</v>
          </cell>
          <cell r="T182" t="str">
            <v/>
          </cell>
        </row>
        <row r="183">
          <cell r="C183" t="str">
            <v>T23C850001500</v>
          </cell>
          <cell r="D183" t="str">
            <v>A23C850002189</v>
          </cell>
          <cell r="E183">
            <v>0</v>
          </cell>
          <cell r="F183">
            <v>950000</v>
          </cell>
          <cell r="G183" t="str">
            <v>Mobile Phone</v>
          </cell>
          <cell r="H183" t="str">
            <v>[3]WRBLS/RETAIL/Q4 CAMPAIGNS</v>
          </cell>
          <cell r="I183" t="str">
            <v>Closed</v>
          </cell>
          <cell r="J183" t="str">
            <v>j.albornoz</v>
          </cell>
          <cell r="K183">
            <v>45200</v>
          </cell>
          <cell r="L183">
            <v>45291</v>
          </cell>
          <cell r="M183" t="str">
            <v>G1</v>
          </cell>
          <cell r="N183" t="str">
            <v>DIGITAL MEDIA</v>
          </cell>
          <cell r="O183" t="str">
            <v>A230</v>
          </cell>
          <cell r="P183" t="str">
            <v>SOCIAL ADS</v>
          </cell>
          <cell r="Q183" t="str">
            <v>2024</v>
          </cell>
          <cell r="R183" t="str">
            <v>L9YZ7E</v>
          </cell>
          <cell r="S183" t="str">
            <v>COMERCIAL ECCSA S A</v>
          </cell>
          <cell r="T183" t="str">
            <v/>
          </cell>
        </row>
        <row r="184">
          <cell r="C184" t="str">
            <v>T23C850001508</v>
          </cell>
          <cell r="D184" t="str">
            <v>A23C850002181</v>
          </cell>
          <cell r="E184">
            <v>0</v>
          </cell>
          <cell r="F184">
            <v>1100000</v>
          </cell>
          <cell r="G184" t="str">
            <v>Computer</v>
          </cell>
          <cell r="H184" t="str">
            <v>[3]NPC/RETAIL/Q4 CAMPAIGNS</v>
          </cell>
          <cell r="I184" t="str">
            <v>Closed</v>
          </cell>
          <cell r="J184" t="str">
            <v>j.albornoz</v>
          </cell>
          <cell r="K184">
            <v>45200</v>
          </cell>
          <cell r="L184">
            <v>45291</v>
          </cell>
          <cell r="M184" t="str">
            <v>C3</v>
          </cell>
          <cell r="N184" t="str">
            <v>DIGITAL MEDIA</v>
          </cell>
          <cell r="O184" t="str">
            <v>A230</v>
          </cell>
          <cell r="P184" t="str">
            <v>SOCIAL ADS</v>
          </cell>
          <cell r="Q184" t="str">
            <v>2024</v>
          </cell>
          <cell r="R184" t="str">
            <v>L9YZ7E</v>
          </cell>
          <cell r="S184" t="str">
            <v>COMERCIAL ECCSA S A</v>
          </cell>
          <cell r="T184" t="str">
            <v/>
          </cell>
        </row>
        <row r="185">
          <cell r="C185" t="str">
            <v>T23C850001508</v>
          </cell>
          <cell r="D185" t="str">
            <v>A23C850002181</v>
          </cell>
          <cell r="E185">
            <v>0</v>
          </cell>
          <cell r="F185">
            <v>4400000</v>
          </cell>
          <cell r="G185" t="str">
            <v>Computer</v>
          </cell>
          <cell r="H185" t="str">
            <v>[3]NPC/RETAIL/Q4 CAMPAIGNS</v>
          </cell>
          <cell r="I185" t="str">
            <v>Closed</v>
          </cell>
          <cell r="J185" t="str">
            <v>j.albornoz</v>
          </cell>
          <cell r="K185">
            <v>45200</v>
          </cell>
          <cell r="L185">
            <v>45291</v>
          </cell>
          <cell r="M185" t="str">
            <v>C3</v>
          </cell>
          <cell r="N185" t="str">
            <v>DIGITAL MEDIA</v>
          </cell>
          <cell r="O185" t="str">
            <v>A240</v>
          </cell>
          <cell r="P185" t="str">
            <v>SEARCH</v>
          </cell>
          <cell r="Q185" t="str">
            <v>2024</v>
          </cell>
          <cell r="R185" t="str">
            <v>L9YZ7E</v>
          </cell>
          <cell r="S185" t="str">
            <v>COMERCIAL ECCSA S A</v>
          </cell>
          <cell r="T185" t="str">
            <v/>
          </cell>
        </row>
        <row r="186">
          <cell r="C186" t="str">
            <v>T23C850001508</v>
          </cell>
          <cell r="D186" t="str">
            <v>A23C850002181</v>
          </cell>
          <cell r="E186">
            <v>0</v>
          </cell>
          <cell r="F186">
            <v>2200000</v>
          </cell>
          <cell r="G186" t="str">
            <v>Computer</v>
          </cell>
          <cell r="H186" t="str">
            <v>[3]NPC/RETAIL/Q4 CAMPAIGNS</v>
          </cell>
          <cell r="I186" t="str">
            <v>Closed</v>
          </cell>
          <cell r="J186" t="str">
            <v>j.albornoz</v>
          </cell>
          <cell r="K186">
            <v>45200</v>
          </cell>
          <cell r="L186">
            <v>45291</v>
          </cell>
          <cell r="M186" t="str">
            <v>C3</v>
          </cell>
          <cell r="N186" t="str">
            <v>DIGITAL MEDIA</v>
          </cell>
          <cell r="O186" t="str">
            <v>A250</v>
          </cell>
          <cell r="P186" t="str">
            <v>DISPLAY</v>
          </cell>
          <cell r="Q186" t="str">
            <v>2024</v>
          </cell>
          <cell r="R186" t="str">
            <v>L9YZ7E</v>
          </cell>
          <cell r="S186" t="str">
            <v>COMERCIAL ECCSA S A</v>
          </cell>
          <cell r="T186" t="str">
            <v/>
          </cell>
        </row>
        <row r="187">
          <cell r="C187" t="str">
            <v>T23C850001514</v>
          </cell>
          <cell r="D187" t="str">
            <v>A23C850002177</v>
          </cell>
          <cell r="E187">
            <v>0</v>
          </cell>
          <cell r="F187">
            <v>3000000</v>
          </cell>
          <cell r="G187" t="str">
            <v>Mobile Phone</v>
          </cell>
          <cell r="H187" t="str">
            <v>[3]TAB/RETAIL/Q4 CAMPAIGNS</v>
          </cell>
          <cell r="I187" t="str">
            <v>Closed</v>
          </cell>
          <cell r="J187" t="str">
            <v>j.albornoz</v>
          </cell>
          <cell r="K187">
            <v>45200</v>
          </cell>
          <cell r="L187">
            <v>45291</v>
          </cell>
          <cell r="M187" t="str">
            <v>G1</v>
          </cell>
          <cell r="N187" t="str">
            <v>DIGITAL MEDIA</v>
          </cell>
          <cell r="O187" t="str">
            <v>A250</v>
          </cell>
          <cell r="P187" t="str">
            <v>DISPLAY</v>
          </cell>
          <cell r="Q187" t="str">
            <v>2024</v>
          </cell>
          <cell r="R187" t="str">
            <v>L9YZ7E</v>
          </cell>
          <cell r="S187" t="str">
            <v>COMERCIAL ECCSA S A</v>
          </cell>
          <cell r="T187" t="str">
            <v/>
          </cell>
        </row>
        <row r="188">
          <cell r="C188" t="str">
            <v>T23C850001514</v>
          </cell>
          <cell r="D188" t="str">
            <v>A23C850002177</v>
          </cell>
          <cell r="E188">
            <v>0</v>
          </cell>
          <cell r="F188">
            <v>1000000</v>
          </cell>
          <cell r="G188" t="str">
            <v>Mobile Phone</v>
          </cell>
          <cell r="H188" t="str">
            <v>[3]TAB/RETAIL/Q4 CAMPAIGNS</v>
          </cell>
          <cell r="I188" t="str">
            <v>Closed</v>
          </cell>
          <cell r="J188" t="str">
            <v>j.albornoz</v>
          </cell>
          <cell r="K188">
            <v>45200</v>
          </cell>
          <cell r="L188">
            <v>45291</v>
          </cell>
          <cell r="M188" t="str">
            <v>G1</v>
          </cell>
          <cell r="N188" t="str">
            <v>DIGITAL MEDIA</v>
          </cell>
          <cell r="O188" t="str">
            <v>A250</v>
          </cell>
          <cell r="P188" t="str">
            <v>DISPLAY</v>
          </cell>
          <cell r="Q188" t="str">
            <v>2024</v>
          </cell>
          <cell r="R188" t="str">
            <v>L9YZ7E</v>
          </cell>
          <cell r="S188" t="str">
            <v>COMERCIAL ECCSA S A</v>
          </cell>
          <cell r="T188" t="str">
            <v/>
          </cell>
        </row>
        <row r="189">
          <cell r="C189" t="str">
            <v>T23C850001514</v>
          </cell>
          <cell r="D189" t="str">
            <v>A23C850002177</v>
          </cell>
          <cell r="E189">
            <v>0</v>
          </cell>
          <cell r="F189">
            <v>5200000</v>
          </cell>
          <cell r="G189" t="str">
            <v>Mobile Phone</v>
          </cell>
          <cell r="H189" t="str">
            <v>[3]TAB/RETAIL/Q4 CAMPAIGNS</v>
          </cell>
          <cell r="I189" t="str">
            <v>Closed</v>
          </cell>
          <cell r="J189" t="str">
            <v>j.albornoz</v>
          </cell>
          <cell r="K189">
            <v>45200</v>
          </cell>
          <cell r="L189">
            <v>45291</v>
          </cell>
          <cell r="M189" t="str">
            <v>G1</v>
          </cell>
          <cell r="N189" t="str">
            <v>DIGITAL MEDIA</v>
          </cell>
          <cell r="O189" t="str">
            <v>A240</v>
          </cell>
          <cell r="P189" t="str">
            <v>SEARCH</v>
          </cell>
          <cell r="Q189" t="str">
            <v>2024</v>
          </cell>
          <cell r="R189" t="str">
            <v>L9YZ7E</v>
          </cell>
          <cell r="S189" t="str">
            <v>COMERCIAL ECCSA S A</v>
          </cell>
          <cell r="T189" t="str">
            <v/>
          </cell>
        </row>
        <row r="190">
          <cell r="C190" t="str">
            <v>T23C850001514</v>
          </cell>
          <cell r="D190" t="str">
            <v>A23C850002177</v>
          </cell>
          <cell r="E190">
            <v>0</v>
          </cell>
          <cell r="F190">
            <v>1500000</v>
          </cell>
          <cell r="G190" t="str">
            <v>Mobile Phone</v>
          </cell>
          <cell r="H190" t="str">
            <v>[3]TAB/RETAIL/Q4 CAMPAIGNS</v>
          </cell>
          <cell r="I190" t="str">
            <v>Closed</v>
          </cell>
          <cell r="J190" t="str">
            <v>j.albornoz</v>
          </cell>
          <cell r="K190">
            <v>45200</v>
          </cell>
          <cell r="L190">
            <v>45291</v>
          </cell>
          <cell r="M190" t="str">
            <v>G1</v>
          </cell>
          <cell r="N190" t="str">
            <v>DIGITAL MEDIA</v>
          </cell>
          <cell r="O190" t="str">
            <v>A240</v>
          </cell>
          <cell r="P190" t="str">
            <v>SEARCH</v>
          </cell>
          <cell r="Q190" t="str">
            <v>2024</v>
          </cell>
          <cell r="R190" t="str">
            <v>L9YZ7E</v>
          </cell>
          <cell r="S190" t="str">
            <v>COMERCIAL ECCSA S A</v>
          </cell>
          <cell r="T190" t="str">
            <v/>
          </cell>
        </row>
        <row r="191">
          <cell r="C191" t="str">
            <v>T23C850001514</v>
          </cell>
          <cell r="D191" t="str">
            <v>A23C850002177</v>
          </cell>
          <cell r="E191">
            <v>0</v>
          </cell>
          <cell r="F191">
            <v>1700000</v>
          </cell>
          <cell r="G191" t="str">
            <v>Mobile Phone</v>
          </cell>
          <cell r="H191" t="str">
            <v>[3]TAB/RETAIL/Q4 CAMPAIGNS</v>
          </cell>
          <cell r="I191" t="str">
            <v>Closed</v>
          </cell>
          <cell r="J191" t="str">
            <v>j.albornoz</v>
          </cell>
          <cell r="K191">
            <v>45200</v>
          </cell>
          <cell r="L191">
            <v>45291</v>
          </cell>
          <cell r="M191" t="str">
            <v>G1</v>
          </cell>
          <cell r="N191" t="str">
            <v>DIGITAL MEDIA</v>
          </cell>
          <cell r="O191" t="str">
            <v>A230</v>
          </cell>
          <cell r="P191" t="str">
            <v>SOCIAL ADS</v>
          </cell>
          <cell r="Q191" t="str">
            <v>2024</v>
          </cell>
          <cell r="R191" t="str">
            <v>L9YZ7E</v>
          </cell>
          <cell r="S191" t="str">
            <v>COMERCIAL ECCSA S A</v>
          </cell>
          <cell r="T191" t="str">
            <v/>
          </cell>
        </row>
        <row r="192">
          <cell r="C192" t="str">
            <v>T23C850001514</v>
          </cell>
          <cell r="D192" t="str">
            <v>A23C850002177</v>
          </cell>
          <cell r="E192">
            <v>0</v>
          </cell>
          <cell r="F192">
            <v>500000</v>
          </cell>
          <cell r="G192" t="str">
            <v>Mobile Phone</v>
          </cell>
          <cell r="H192" t="str">
            <v>[3]TAB/RETAIL/Q4 CAMPAIGNS</v>
          </cell>
          <cell r="I192" t="str">
            <v>Closed</v>
          </cell>
          <cell r="J192" t="str">
            <v>j.albornoz</v>
          </cell>
          <cell r="K192">
            <v>45200</v>
          </cell>
          <cell r="L192">
            <v>45291</v>
          </cell>
          <cell r="M192" t="str">
            <v>G1</v>
          </cell>
          <cell r="N192" t="str">
            <v>DIGITAL MEDIA</v>
          </cell>
          <cell r="O192" t="str">
            <v>A230</v>
          </cell>
          <cell r="P192" t="str">
            <v>SOCIAL ADS</v>
          </cell>
          <cell r="Q192" t="str">
            <v>2024</v>
          </cell>
          <cell r="R192" t="str">
            <v>L9YZ7E</v>
          </cell>
          <cell r="S192" t="str">
            <v>COMERCIAL ECCSA S A</v>
          </cell>
          <cell r="T192" t="str">
            <v/>
          </cell>
        </row>
        <row r="193">
          <cell r="C193" t="str">
            <v>T23C850001659</v>
          </cell>
          <cell r="D193" t="str">
            <v>A23C850002352</v>
          </cell>
          <cell r="E193">
            <v>0</v>
          </cell>
          <cell r="F193">
            <v>1000000</v>
          </cell>
          <cell r="G193" t="str">
            <v>Mobile Phone</v>
          </cell>
          <cell r="H193" t="str">
            <v>[3]RETAIL HHP AON NOVEMBER RETAIL A</v>
          </cell>
          <cell r="I193" t="str">
            <v>Closed</v>
          </cell>
          <cell r="J193" t="str">
            <v>sjara.mella</v>
          </cell>
          <cell r="K193">
            <v>45237</v>
          </cell>
          <cell r="L193">
            <v>45291</v>
          </cell>
          <cell r="M193" t="str">
            <v>G1</v>
          </cell>
          <cell r="N193" t="str">
            <v>DIGITAL MEDIA</v>
          </cell>
          <cell r="O193" t="str">
            <v>A250</v>
          </cell>
          <cell r="P193" t="str">
            <v>DISPLAY</v>
          </cell>
          <cell r="Q193" t="str">
            <v>2024</v>
          </cell>
          <cell r="R193" t="str">
            <v>L9YZ7E</v>
          </cell>
          <cell r="S193" t="str">
            <v>COMERCIAL ECCSA S A</v>
          </cell>
          <cell r="T193" t="str">
            <v/>
          </cell>
        </row>
        <row r="194">
          <cell r="C194" t="str">
            <v>T23C850001659</v>
          </cell>
          <cell r="D194" t="str">
            <v>A23C850002352</v>
          </cell>
          <cell r="E194">
            <v>0</v>
          </cell>
          <cell r="F194">
            <v>2500000</v>
          </cell>
          <cell r="G194" t="str">
            <v>Mobile Phone</v>
          </cell>
          <cell r="H194" t="str">
            <v>[3]RETAIL HHP AON NOVEMBER RETAIL A</v>
          </cell>
          <cell r="I194" t="str">
            <v>Closed</v>
          </cell>
          <cell r="J194" t="str">
            <v>sjara.mella</v>
          </cell>
          <cell r="K194">
            <v>45237</v>
          </cell>
          <cell r="L194">
            <v>45291</v>
          </cell>
          <cell r="M194" t="str">
            <v>G1</v>
          </cell>
          <cell r="N194" t="str">
            <v>DIGITAL MEDIA</v>
          </cell>
          <cell r="O194" t="str">
            <v>A240</v>
          </cell>
          <cell r="P194" t="str">
            <v>SEARCH</v>
          </cell>
          <cell r="Q194" t="str">
            <v>2024</v>
          </cell>
          <cell r="R194" t="str">
            <v>L9YZ7E</v>
          </cell>
          <cell r="S194" t="str">
            <v>COMERCIAL ECCSA S A</v>
          </cell>
          <cell r="T194" t="str">
            <v/>
          </cell>
        </row>
        <row r="195">
          <cell r="C195" t="str">
            <v>T23C850001659</v>
          </cell>
          <cell r="D195" t="str">
            <v>A23C850002352</v>
          </cell>
          <cell r="E195">
            <v>0</v>
          </cell>
          <cell r="F195">
            <v>2500000</v>
          </cell>
          <cell r="G195" t="str">
            <v>Mobile Phone</v>
          </cell>
          <cell r="H195" t="str">
            <v>[3]RETAIL HHP AON NOVEMBER RETAIL A</v>
          </cell>
          <cell r="I195" t="str">
            <v>Closed</v>
          </cell>
          <cell r="J195" t="str">
            <v>sjara.mella</v>
          </cell>
          <cell r="K195">
            <v>45237</v>
          </cell>
          <cell r="L195">
            <v>45291</v>
          </cell>
          <cell r="M195" t="str">
            <v>G1</v>
          </cell>
          <cell r="N195" t="str">
            <v>DIGITAL MEDIA</v>
          </cell>
          <cell r="O195" t="str">
            <v>A230</v>
          </cell>
          <cell r="P195" t="str">
            <v>SOCIAL ADS</v>
          </cell>
          <cell r="Q195" t="str">
            <v>2024</v>
          </cell>
          <cell r="R195" t="str">
            <v>L9YZ7E</v>
          </cell>
          <cell r="S195" t="str">
            <v>COMERCIAL ECCSA S A</v>
          </cell>
          <cell r="T195" t="str">
            <v/>
          </cell>
        </row>
        <row r="196">
          <cell r="C196" t="str">
            <v>T23C850001665</v>
          </cell>
          <cell r="D196" t="str">
            <v>A23C850002359</v>
          </cell>
          <cell r="E196">
            <v>0</v>
          </cell>
          <cell r="F196">
            <v>500000</v>
          </cell>
          <cell r="G196" t="str">
            <v>Mobile Phone</v>
          </cell>
          <cell r="H196" t="str">
            <v>[3]RETAIL HHP S23 FE LAUNCH CAMPAIGN</v>
          </cell>
          <cell r="I196" t="str">
            <v>Closed</v>
          </cell>
          <cell r="J196" t="str">
            <v>sjara.mella</v>
          </cell>
          <cell r="K196">
            <v>45230</v>
          </cell>
          <cell r="L196">
            <v>45291</v>
          </cell>
          <cell r="M196" t="str">
            <v>G1</v>
          </cell>
          <cell r="N196" t="str">
            <v>DIGITAL MEDIA</v>
          </cell>
          <cell r="O196" t="str">
            <v>A250</v>
          </cell>
          <cell r="P196" t="str">
            <v>DISPLAY</v>
          </cell>
          <cell r="Q196" t="str">
            <v>2024</v>
          </cell>
          <cell r="R196" t="str">
            <v>L9YZ7E</v>
          </cell>
          <cell r="S196" t="str">
            <v>COMERCIAL ECCSA S A</v>
          </cell>
          <cell r="T196" t="str">
            <v/>
          </cell>
        </row>
        <row r="197">
          <cell r="C197" t="str">
            <v>T23C850001665</v>
          </cell>
          <cell r="D197" t="str">
            <v>A23C850002359</v>
          </cell>
          <cell r="E197">
            <v>0</v>
          </cell>
          <cell r="F197">
            <v>1000000</v>
          </cell>
          <cell r="G197" t="str">
            <v>Mobile Phone</v>
          </cell>
          <cell r="H197" t="str">
            <v>[3]RETAIL HHP S23 FE LAUNCH CAMPAIGN</v>
          </cell>
          <cell r="I197" t="str">
            <v>Closed</v>
          </cell>
          <cell r="J197" t="str">
            <v>sjara.mella</v>
          </cell>
          <cell r="K197">
            <v>45230</v>
          </cell>
          <cell r="L197">
            <v>45291</v>
          </cell>
          <cell r="M197" t="str">
            <v>G1</v>
          </cell>
          <cell r="N197" t="str">
            <v>DIGITAL MEDIA</v>
          </cell>
          <cell r="O197" t="str">
            <v>A240</v>
          </cell>
          <cell r="P197" t="str">
            <v>SEARCH</v>
          </cell>
          <cell r="Q197" t="str">
            <v>2024</v>
          </cell>
          <cell r="R197" t="str">
            <v>L9YZ7E</v>
          </cell>
          <cell r="S197" t="str">
            <v>COMERCIAL ECCSA S A</v>
          </cell>
          <cell r="T197" t="str">
            <v/>
          </cell>
        </row>
        <row r="198">
          <cell r="C198" t="str">
            <v>T23C850001665</v>
          </cell>
          <cell r="D198" t="str">
            <v>A23C850002359</v>
          </cell>
          <cell r="E198">
            <v>0</v>
          </cell>
          <cell r="F198">
            <v>500000</v>
          </cell>
          <cell r="G198" t="str">
            <v>Mobile Phone</v>
          </cell>
          <cell r="H198" t="str">
            <v>[3]RETAIL HHP S23 FE LAUNCH CAMPAIGN</v>
          </cell>
          <cell r="I198" t="str">
            <v>Closed</v>
          </cell>
          <cell r="J198" t="str">
            <v>sjara.mella</v>
          </cell>
          <cell r="K198">
            <v>45230</v>
          </cell>
          <cell r="L198">
            <v>45291</v>
          </cell>
          <cell r="M198" t="str">
            <v>G1</v>
          </cell>
          <cell r="N198" t="str">
            <v>DIGITAL MEDIA</v>
          </cell>
          <cell r="O198" t="str">
            <v>A230</v>
          </cell>
          <cell r="P198" t="str">
            <v>SOCIAL ADS</v>
          </cell>
          <cell r="Q198" t="str">
            <v>2024</v>
          </cell>
          <cell r="R198" t="str">
            <v>L9YZ7E</v>
          </cell>
          <cell r="S198" t="str">
            <v>COMERCIAL ECCSA S A</v>
          </cell>
          <cell r="T198" t="str">
            <v/>
          </cell>
        </row>
        <row r="199">
          <cell r="C199" t="str">
            <v>T24C850000092</v>
          </cell>
          <cell r="D199" t="str">
            <v>A24C850000149</v>
          </cell>
          <cell r="E199">
            <v>656887</v>
          </cell>
          <cell r="F199">
            <v>0</v>
          </cell>
          <cell r="G199" t="str">
            <v>Mobile Phone</v>
          </cell>
          <cell r="H199" t="str">
            <v>[3]HHP AON CAMPAIGN RETAILERS JANUARY</v>
          </cell>
          <cell r="I199" t="str">
            <v>Closed</v>
          </cell>
          <cell r="J199" t="str">
            <v>fernandez.r</v>
          </cell>
          <cell r="K199">
            <v>45301</v>
          </cell>
          <cell r="L199">
            <v>45382</v>
          </cell>
          <cell r="M199" t="str">
            <v>G1</v>
          </cell>
          <cell r="N199" t="str">
            <v>DIGITAL MEDIA</v>
          </cell>
          <cell r="O199" t="str">
            <v>A240</v>
          </cell>
          <cell r="P199" t="str">
            <v>SEARCH</v>
          </cell>
          <cell r="Q199" t="str">
            <v>2024</v>
          </cell>
          <cell r="R199" t="str">
            <v>L9YZ7E</v>
          </cell>
          <cell r="S199" t="str">
            <v>COMERCIAL ECCSA S A</v>
          </cell>
          <cell r="T199" t="str">
            <v/>
          </cell>
        </row>
        <row r="200">
          <cell r="C200" t="str">
            <v>T24C850000092</v>
          </cell>
          <cell r="D200" t="str">
            <v>A24C850000149</v>
          </cell>
          <cell r="E200">
            <v>1656887</v>
          </cell>
          <cell r="F200">
            <v>0</v>
          </cell>
          <cell r="G200" t="str">
            <v>Mobile Phone</v>
          </cell>
          <cell r="H200" t="str">
            <v>[3]HHP AON CAMPAIGN RETAILERS JANUARY</v>
          </cell>
          <cell r="I200" t="str">
            <v>Closed</v>
          </cell>
          <cell r="J200" t="str">
            <v>fernandez.r</v>
          </cell>
          <cell r="K200">
            <v>45301</v>
          </cell>
          <cell r="L200">
            <v>45382</v>
          </cell>
          <cell r="M200" t="str">
            <v>G1</v>
          </cell>
          <cell r="N200" t="str">
            <v>DIGITAL MEDIA</v>
          </cell>
          <cell r="O200" t="str">
            <v>A240</v>
          </cell>
          <cell r="P200" t="str">
            <v>SEARCH</v>
          </cell>
          <cell r="Q200" t="str">
            <v>2024</v>
          </cell>
          <cell r="R200" t="str">
            <v>L9YZ7E</v>
          </cell>
          <cell r="S200" t="str">
            <v>COMERCIAL ECCSA S A</v>
          </cell>
          <cell r="T200" t="str">
            <v/>
          </cell>
        </row>
        <row r="201">
          <cell r="C201" t="str">
            <v>T24C850000092</v>
          </cell>
          <cell r="D201" t="str">
            <v>A24C850000149</v>
          </cell>
          <cell r="E201">
            <v>0</v>
          </cell>
          <cell r="F201">
            <v>2297230</v>
          </cell>
          <cell r="G201" t="str">
            <v>Mobile Phone</v>
          </cell>
          <cell r="H201" t="str">
            <v>[3]HHP AON CAMPAIGN RETAILERS JANUARY</v>
          </cell>
          <cell r="I201" t="str">
            <v>Closed</v>
          </cell>
          <cell r="J201" t="str">
            <v>fernandez.r</v>
          </cell>
          <cell r="K201">
            <v>45301</v>
          </cell>
          <cell r="L201">
            <v>45382</v>
          </cell>
          <cell r="M201" t="str">
            <v>G1</v>
          </cell>
          <cell r="N201" t="str">
            <v>DIGITAL MEDIA</v>
          </cell>
          <cell r="O201" t="str">
            <v>A240</v>
          </cell>
          <cell r="P201" t="str">
            <v>SEARCH</v>
          </cell>
          <cell r="Q201" t="str">
            <v>2024</v>
          </cell>
          <cell r="R201" t="str">
            <v>L9YZ7E</v>
          </cell>
          <cell r="S201" t="str">
            <v>COMERCIAL ECCSA S A</v>
          </cell>
          <cell r="T201" t="str">
            <v/>
          </cell>
        </row>
        <row r="202">
          <cell r="C202" t="str">
            <v>T24C850000092</v>
          </cell>
          <cell r="D202" t="str">
            <v>A24C850000149</v>
          </cell>
          <cell r="E202">
            <v>-16544</v>
          </cell>
          <cell r="F202">
            <v>0</v>
          </cell>
          <cell r="G202" t="str">
            <v>Mobile Phone</v>
          </cell>
          <cell r="H202" t="str">
            <v>[3]HHP AON CAMPAIGN RETAILERS JANUARY</v>
          </cell>
          <cell r="I202" t="str">
            <v>Closed</v>
          </cell>
          <cell r="J202" t="str">
            <v>fernandez.r</v>
          </cell>
          <cell r="K202">
            <v>45301</v>
          </cell>
          <cell r="L202">
            <v>45382</v>
          </cell>
          <cell r="M202" t="str">
            <v>G1</v>
          </cell>
          <cell r="N202" t="str">
            <v>DIGITAL MEDIA</v>
          </cell>
          <cell r="O202" t="str">
            <v>A240</v>
          </cell>
          <cell r="P202" t="str">
            <v>SEARCH</v>
          </cell>
          <cell r="Q202" t="str">
            <v>2024</v>
          </cell>
          <cell r="R202" t="str">
            <v>L9YZ7E</v>
          </cell>
          <cell r="S202" t="str">
            <v>COMERCIAL ECCSA S A</v>
          </cell>
          <cell r="T202" t="str">
            <v/>
          </cell>
        </row>
        <row r="203">
          <cell r="C203" t="str">
            <v>T24C850000096</v>
          </cell>
          <cell r="D203" t="str">
            <v>A24C850000150</v>
          </cell>
          <cell r="E203">
            <v>2000000</v>
          </cell>
          <cell r="F203">
            <v>0</v>
          </cell>
          <cell r="G203" t="str">
            <v>Mobile Phone</v>
          </cell>
          <cell r="H203" t="str">
            <v>[3]HHP EUREKA CAMPAIGN RETAILERS JANUARY</v>
          </cell>
          <cell r="I203" t="str">
            <v>Closed</v>
          </cell>
          <cell r="J203" t="str">
            <v>fernandez.r</v>
          </cell>
          <cell r="K203">
            <v>45303</v>
          </cell>
          <cell r="L203">
            <v>45382</v>
          </cell>
          <cell r="M203" t="str">
            <v>G1</v>
          </cell>
          <cell r="N203" t="str">
            <v>DIGITAL MEDIA</v>
          </cell>
          <cell r="O203" t="str">
            <v>A250</v>
          </cell>
          <cell r="P203" t="str">
            <v>DISPLAY</v>
          </cell>
          <cell r="Q203" t="str">
            <v>2024</v>
          </cell>
          <cell r="R203" t="str">
            <v>L9YZ7E</v>
          </cell>
          <cell r="S203" t="str">
            <v>COMERCIAL ECCSA S A</v>
          </cell>
          <cell r="T203" t="str">
            <v/>
          </cell>
        </row>
        <row r="204">
          <cell r="C204" t="str">
            <v>T24C850000096</v>
          </cell>
          <cell r="D204" t="str">
            <v>A24C850000150</v>
          </cell>
          <cell r="E204">
            <v>4000000</v>
          </cell>
          <cell r="F204">
            <v>0</v>
          </cell>
          <cell r="G204" t="str">
            <v>Mobile Phone</v>
          </cell>
          <cell r="H204" t="str">
            <v>[3]HHP EUREKA CAMPAIGN RETAILERS JANUARY</v>
          </cell>
          <cell r="I204" t="str">
            <v>Closed</v>
          </cell>
          <cell r="J204" t="str">
            <v>fernandez.r</v>
          </cell>
          <cell r="K204">
            <v>45303</v>
          </cell>
          <cell r="L204">
            <v>45382</v>
          </cell>
          <cell r="M204" t="str">
            <v>G1</v>
          </cell>
          <cell r="N204" t="str">
            <v>DIGITAL MEDIA</v>
          </cell>
          <cell r="O204" t="str">
            <v>A250</v>
          </cell>
          <cell r="P204" t="str">
            <v>DISPLAY</v>
          </cell>
          <cell r="Q204" t="str">
            <v>2024</v>
          </cell>
          <cell r="R204" t="str">
            <v>L9YZ7E</v>
          </cell>
          <cell r="S204" t="str">
            <v>COMERCIAL ECCSA S A</v>
          </cell>
          <cell r="T204" t="str">
            <v/>
          </cell>
        </row>
        <row r="205">
          <cell r="C205" t="str">
            <v>T24C850000096</v>
          </cell>
          <cell r="D205" t="str">
            <v>A24C850000150</v>
          </cell>
          <cell r="E205">
            <v>0</v>
          </cell>
          <cell r="F205">
            <v>6000000</v>
          </cell>
          <cell r="G205" t="str">
            <v>Mobile Phone</v>
          </cell>
          <cell r="H205" t="str">
            <v>[3]HHP EUREKA CAMPAIGN RETAILERS JANUARY</v>
          </cell>
          <cell r="I205" t="str">
            <v>Closed</v>
          </cell>
          <cell r="J205" t="str">
            <v>fernandez.r</v>
          </cell>
          <cell r="K205">
            <v>45303</v>
          </cell>
          <cell r="L205">
            <v>45382</v>
          </cell>
          <cell r="M205" t="str">
            <v>G1</v>
          </cell>
          <cell r="N205" t="str">
            <v>DIGITAL MEDIA</v>
          </cell>
          <cell r="O205" t="str">
            <v>A250</v>
          </cell>
          <cell r="P205" t="str">
            <v>DISPLAY</v>
          </cell>
          <cell r="Q205" t="str">
            <v>2024</v>
          </cell>
          <cell r="R205" t="str">
            <v>L9YZ7E</v>
          </cell>
          <cell r="S205" t="str">
            <v>COMERCIAL ECCSA S A</v>
          </cell>
          <cell r="T205" t="str">
            <v/>
          </cell>
        </row>
        <row r="206">
          <cell r="C206" t="str">
            <v>T24C850000096</v>
          </cell>
          <cell r="D206" t="str">
            <v>A24C850000150</v>
          </cell>
          <cell r="E206">
            <v>9000000</v>
          </cell>
          <cell r="F206">
            <v>0</v>
          </cell>
          <cell r="G206" t="str">
            <v>Mobile Phone</v>
          </cell>
          <cell r="H206" t="str">
            <v>[3]HHP EUREKA CAMPAIGN RETAILERS JANUARY</v>
          </cell>
          <cell r="I206" t="str">
            <v>Closed</v>
          </cell>
          <cell r="J206" t="str">
            <v>fernandez.r</v>
          </cell>
          <cell r="K206">
            <v>45303</v>
          </cell>
          <cell r="L206">
            <v>45382</v>
          </cell>
          <cell r="M206" t="str">
            <v>G1</v>
          </cell>
          <cell r="N206" t="str">
            <v>DIGITAL MEDIA</v>
          </cell>
          <cell r="O206" t="str">
            <v>A230</v>
          </cell>
          <cell r="P206" t="str">
            <v>SOCIAL ADS</v>
          </cell>
          <cell r="Q206" t="str">
            <v>2024</v>
          </cell>
          <cell r="R206" t="str">
            <v>L9YZ7E</v>
          </cell>
          <cell r="S206" t="str">
            <v>COMERCIAL ECCSA S A</v>
          </cell>
          <cell r="T206" t="str">
            <v/>
          </cell>
        </row>
        <row r="207">
          <cell r="C207" t="str">
            <v>T24C850000096</v>
          </cell>
          <cell r="D207" t="str">
            <v>A24C850000150</v>
          </cell>
          <cell r="E207">
            <v>11000000</v>
          </cell>
          <cell r="F207">
            <v>0</v>
          </cell>
          <cell r="G207" t="str">
            <v>Mobile Phone</v>
          </cell>
          <cell r="H207" t="str">
            <v>[3]HHP EUREKA CAMPAIGN RETAILERS JANUARY</v>
          </cell>
          <cell r="I207" t="str">
            <v>Closed</v>
          </cell>
          <cell r="J207" t="str">
            <v>fernandez.r</v>
          </cell>
          <cell r="K207">
            <v>45303</v>
          </cell>
          <cell r="L207">
            <v>45382</v>
          </cell>
          <cell r="M207" t="str">
            <v>G1</v>
          </cell>
          <cell r="N207" t="str">
            <v>DIGITAL MEDIA</v>
          </cell>
          <cell r="O207" t="str">
            <v>A230</v>
          </cell>
          <cell r="P207" t="str">
            <v>SOCIAL ADS</v>
          </cell>
          <cell r="Q207" t="str">
            <v>2024</v>
          </cell>
          <cell r="R207" t="str">
            <v>L9YZ7E</v>
          </cell>
          <cell r="S207" t="str">
            <v>COMERCIAL ECCSA S A</v>
          </cell>
          <cell r="T207" t="str">
            <v/>
          </cell>
        </row>
        <row r="208">
          <cell r="C208" t="str">
            <v>T24C850000096</v>
          </cell>
          <cell r="D208" t="str">
            <v>A24C850000150</v>
          </cell>
          <cell r="E208">
            <v>0</v>
          </cell>
          <cell r="F208">
            <v>20000000</v>
          </cell>
          <cell r="G208" t="str">
            <v>Mobile Phone</v>
          </cell>
          <cell r="H208" t="str">
            <v>[3]HHP EUREKA CAMPAIGN RETAILERS JANUARY</v>
          </cell>
          <cell r="I208" t="str">
            <v>Closed</v>
          </cell>
          <cell r="J208" t="str">
            <v>fernandez.r</v>
          </cell>
          <cell r="K208">
            <v>45303</v>
          </cell>
          <cell r="L208">
            <v>45382</v>
          </cell>
          <cell r="M208" t="str">
            <v>G1</v>
          </cell>
          <cell r="N208" t="str">
            <v>DIGITAL MEDIA</v>
          </cell>
          <cell r="O208" t="str">
            <v>A230</v>
          </cell>
          <cell r="P208" t="str">
            <v>SOCIAL ADS</v>
          </cell>
          <cell r="Q208" t="str">
            <v>2024</v>
          </cell>
          <cell r="R208" t="str">
            <v>L9YZ7E</v>
          </cell>
          <cell r="S208" t="str">
            <v>COMERCIAL ECCSA S A</v>
          </cell>
          <cell r="T208" t="str">
            <v/>
          </cell>
        </row>
        <row r="209">
          <cell r="C209" t="str">
            <v>T24C850000096</v>
          </cell>
          <cell r="D209" t="str">
            <v>A24C850000150</v>
          </cell>
          <cell r="E209">
            <v>9000000</v>
          </cell>
          <cell r="F209">
            <v>0</v>
          </cell>
          <cell r="G209" t="str">
            <v>Mobile Phone</v>
          </cell>
          <cell r="H209" t="str">
            <v>[3]HHP EUREKA CAMPAIGN RETAILERS JANUARY</v>
          </cell>
          <cell r="I209" t="str">
            <v>Closed</v>
          </cell>
          <cell r="J209" t="str">
            <v>fernandez.r</v>
          </cell>
          <cell r="K209">
            <v>45303</v>
          </cell>
          <cell r="L209">
            <v>45382</v>
          </cell>
          <cell r="M209" t="str">
            <v>G1</v>
          </cell>
          <cell r="N209" t="str">
            <v>DIGITAL MEDIA</v>
          </cell>
          <cell r="O209" t="str">
            <v>A240</v>
          </cell>
          <cell r="P209" t="str">
            <v>SEARCH</v>
          </cell>
          <cell r="Q209" t="str">
            <v>2024</v>
          </cell>
          <cell r="R209" t="str">
            <v>L9YZ7E</v>
          </cell>
          <cell r="S209" t="str">
            <v>COMERCIAL ECCSA S A</v>
          </cell>
          <cell r="T209" t="str">
            <v/>
          </cell>
        </row>
        <row r="210">
          <cell r="C210" t="str">
            <v>T24C850000096</v>
          </cell>
          <cell r="D210" t="str">
            <v>A24C850000150</v>
          </cell>
          <cell r="E210">
            <v>11000000</v>
          </cell>
          <cell r="F210">
            <v>0</v>
          </cell>
          <cell r="G210" t="str">
            <v>Mobile Phone</v>
          </cell>
          <cell r="H210" t="str">
            <v>[3]HHP EUREKA CAMPAIGN RETAILERS JANUARY</v>
          </cell>
          <cell r="I210" t="str">
            <v>Closed</v>
          </cell>
          <cell r="J210" t="str">
            <v>fernandez.r</v>
          </cell>
          <cell r="K210">
            <v>45303</v>
          </cell>
          <cell r="L210">
            <v>45382</v>
          </cell>
          <cell r="M210" t="str">
            <v>G1</v>
          </cell>
          <cell r="N210" t="str">
            <v>DIGITAL MEDIA</v>
          </cell>
          <cell r="O210" t="str">
            <v>A240</v>
          </cell>
          <cell r="P210" t="str">
            <v>SEARCH</v>
          </cell>
          <cell r="Q210" t="str">
            <v>2024</v>
          </cell>
          <cell r="R210" t="str">
            <v>L9YZ7E</v>
          </cell>
          <cell r="S210" t="str">
            <v>COMERCIAL ECCSA S A</v>
          </cell>
          <cell r="T210" t="str">
            <v/>
          </cell>
        </row>
        <row r="211">
          <cell r="C211" t="str">
            <v>T24C850000096</v>
          </cell>
          <cell r="D211" t="str">
            <v>A24C850000150</v>
          </cell>
          <cell r="E211">
            <v>0</v>
          </cell>
          <cell r="F211">
            <v>20000000</v>
          </cell>
          <cell r="G211" t="str">
            <v>Mobile Phone</v>
          </cell>
          <cell r="H211" t="str">
            <v>[3]HHP EUREKA CAMPAIGN RETAILERS JANUARY</v>
          </cell>
          <cell r="I211" t="str">
            <v>Closed</v>
          </cell>
          <cell r="J211" t="str">
            <v>fernandez.r</v>
          </cell>
          <cell r="K211">
            <v>45303</v>
          </cell>
          <cell r="L211">
            <v>45382</v>
          </cell>
          <cell r="M211" t="str">
            <v>G1</v>
          </cell>
          <cell r="N211" t="str">
            <v>DIGITAL MEDIA</v>
          </cell>
          <cell r="O211" t="str">
            <v>A240</v>
          </cell>
          <cell r="P211" t="str">
            <v>SEARCH</v>
          </cell>
          <cell r="Q211" t="str">
            <v>2024</v>
          </cell>
          <cell r="R211" t="str">
            <v>L9YZ7E</v>
          </cell>
          <cell r="S211" t="str">
            <v>COMERCIAL ECCSA S A</v>
          </cell>
          <cell r="T211" t="str">
            <v/>
          </cell>
        </row>
        <row r="212">
          <cell r="C212" t="str">
            <v>T24C850000157</v>
          </cell>
          <cell r="D212" t="str">
            <v>A24C850000287</v>
          </cell>
          <cell r="E212">
            <v>115894865</v>
          </cell>
          <cell r="F212">
            <v>0</v>
          </cell>
          <cell r="G212" t="str">
            <v>Mobile Phone</v>
          </cell>
          <cell r="H212" t="str">
            <v>[4]PUMI APPROVED/HHP/V.GONZALEZG/PURCHASE RDU EUREKA</v>
          </cell>
          <cell r="I212" t="str">
            <v>Closed</v>
          </cell>
          <cell r="J212" t="str">
            <v>y.malave</v>
          </cell>
          <cell r="K212">
            <v>45313</v>
          </cell>
          <cell r="L212">
            <v>45382</v>
          </cell>
          <cell r="M212" t="str">
            <v>G1</v>
          </cell>
          <cell r="N212" t="str">
            <v>RETAIL</v>
          </cell>
          <cell r="O212" t="str">
            <v>B120</v>
          </cell>
          <cell r="P212" t="str">
            <v>SHELF MERCHANDISING</v>
          </cell>
          <cell r="Q212" t="str">
            <v>2024</v>
          </cell>
          <cell r="R212" t="str">
            <v>L9YZ7E</v>
          </cell>
          <cell r="S212" t="str">
            <v>COMERCIAL ECCSA S A</v>
          </cell>
          <cell r="T212" t="str">
            <v/>
          </cell>
        </row>
        <row r="213">
          <cell r="C213" t="str">
            <v>T24C850000157</v>
          </cell>
          <cell r="D213" t="str">
            <v>A24C850000287</v>
          </cell>
          <cell r="E213">
            <v>0</v>
          </cell>
          <cell r="F213">
            <v>115656218</v>
          </cell>
          <cell r="G213" t="str">
            <v>Mobile Phone</v>
          </cell>
          <cell r="H213" t="str">
            <v>[4]PUMI APPROVED/HHP/V.GONZALEZG/PURCHASE RDU EUREKA</v>
          </cell>
          <cell r="I213" t="str">
            <v>Closed</v>
          </cell>
          <cell r="J213" t="str">
            <v>y.malave</v>
          </cell>
          <cell r="K213">
            <v>45313</v>
          </cell>
          <cell r="L213">
            <v>45382</v>
          </cell>
          <cell r="M213" t="str">
            <v>G1</v>
          </cell>
          <cell r="N213" t="str">
            <v>RETAIL</v>
          </cell>
          <cell r="O213" t="str">
            <v>B120</v>
          </cell>
          <cell r="P213" t="str">
            <v>SHELF MERCHANDISING</v>
          </cell>
          <cell r="Q213" t="str">
            <v>2024</v>
          </cell>
          <cell r="R213" t="str">
            <v>L9YZ7E</v>
          </cell>
          <cell r="S213" t="str">
            <v>COMERCIAL ECCSA S A</v>
          </cell>
          <cell r="T213" t="str">
            <v/>
          </cell>
        </row>
        <row r="214">
          <cell r="C214" t="str">
            <v>T24C850000157</v>
          </cell>
          <cell r="D214" t="str">
            <v>A24C850000287</v>
          </cell>
          <cell r="E214">
            <v>-238647</v>
          </cell>
          <cell r="F214">
            <v>0</v>
          </cell>
          <cell r="G214" t="str">
            <v>Mobile Phone</v>
          </cell>
          <cell r="H214" t="str">
            <v>[4]PUMI APPROVED/HHP/V.GONZALEZG/PURCHASE RDU EUREKA</v>
          </cell>
          <cell r="I214" t="str">
            <v>Closed</v>
          </cell>
          <cell r="J214" t="str">
            <v>y.malave</v>
          </cell>
          <cell r="K214">
            <v>45313</v>
          </cell>
          <cell r="L214">
            <v>45382</v>
          </cell>
          <cell r="M214" t="str">
            <v>G1</v>
          </cell>
          <cell r="N214" t="str">
            <v>RETAIL</v>
          </cell>
          <cell r="O214" t="str">
            <v>B120</v>
          </cell>
          <cell r="P214" t="str">
            <v>SHELF MERCHANDISING</v>
          </cell>
          <cell r="Q214" t="str">
            <v>2024</v>
          </cell>
          <cell r="R214" t="str">
            <v>L9YZ7E</v>
          </cell>
          <cell r="S214" t="str">
            <v>COMERCIAL ECCSA S A</v>
          </cell>
          <cell r="T214" t="str">
            <v/>
          </cell>
        </row>
        <row r="215">
          <cell r="C215" t="str">
            <v>T24C850000265</v>
          </cell>
          <cell r="D215" t="str">
            <v>A24C850000381</v>
          </cell>
          <cell r="E215">
            <v>1000000</v>
          </cell>
          <cell r="F215">
            <v>0</v>
          </cell>
          <cell r="G215" t="str">
            <v>Computer</v>
          </cell>
          <cell r="H215" t="str">
            <v>[4]NPC AON CAMPAIGN RETAILERS FEBRUARY &amp; MARCH</v>
          </cell>
          <cell r="I215" t="str">
            <v>Closed</v>
          </cell>
          <cell r="J215" t="str">
            <v>fernandez.r</v>
          </cell>
          <cell r="K215">
            <v>45337</v>
          </cell>
          <cell r="L215">
            <v>45443</v>
          </cell>
          <cell r="M215" t="str">
            <v>C3</v>
          </cell>
          <cell r="N215" t="str">
            <v>DIGITAL MEDIA</v>
          </cell>
          <cell r="O215" t="str">
            <v>A240</v>
          </cell>
          <cell r="P215" t="str">
            <v>SEARCH</v>
          </cell>
          <cell r="Q215" t="str">
            <v>2024</v>
          </cell>
          <cell r="R215" t="str">
            <v>L9YZ7E</v>
          </cell>
          <cell r="S215" t="str">
            <v>COMERCIAL ECCSA S A</v>
          </cell>
          <cell r="T215" t="str">
            <v/>
          </cell>
        </row>
        <row r="216">
          <cell r="C216" t="str">
            <v>T24C850000265</v>
          </cell>
          <cell r="D216" t="str">
            <v>A24C850000381</v>
          </cell>
          <cell r="E216">
            <v>1000000</v>
          </cell>
          <cell r="F216">
            <v>0</v>
          </cell>
          <cell r="G216" t="str">
            <v>Computer</v>
          </cell>
          <cell r="H216" t="str">
            <v>[4]NPC AON CAMPAIGN RETAILERS FEBRUARY &amp; MARCH</v>
          </cell>
          <cell r="I216" t="str">
            <v>Closed</v>
          </cell>
          <cell r="J216" t="str">
            <v>fernandez.r</v>
          </cell>
          <cell r="K216">
            <v>45337</v>
          </cell>
          <cell r="L216">
            <v>45443</v>
          </cell>
          <cell r="M216" t="str">
            <v>C3</v>
          </cell>
          <cell r="N216" t="str">
            <v>DIGITAL MEDIA</v>
          </cell>
          <cell r="O216" t="str">
            <v>A240</v>
          </cell>
          <cell r="P216" t="str">
            <v>SEARCH</v>
          </cell>
          <cell r="Q216" t="str">
            <v>2024</v>
          </cell>
          <cell r="R216" t="str">
            <v>L9YZ7E</v>
          </cell>
          <cell r="S216" t="str">
            <v>COMERCIAL ECCSA S A</v>
          </cell>
          <cell r="T216" t="str">
            <v/>
          </cell>
        </row>
        <row r="217">
          <cell r="C217" t="str">
            <v>T24C850000265</v>
          </cell>
          <cell r="D217" t="str">
            <v>A24C850000381</v>
          </cell>
          <cell r="E217">
            <v>0</v>
          </cell>
          <cell r="F217">
            <v>2000000</v>
          </cell>
          <cell r="G217" t="str">
            <v>Computer</v>
          </cell>
          <cell r="H217" t="str">
            <v>[4]NPC AON CAMPAIGN RETAILERS FEBRUARY &amp; MARCH</v>
          </cell>
          <cell r="I217" t="str">
            <v>Closed</v>
          </cell>
          <cell r="J217" t="str">
            <v>fernandez.r</v>
          </cell>
          <cell r="K217">
            <v>45337</v>
          </cell>
          <cell r="L217">
            <v>45443</v>
          </cell>
          <cell r="M217" t="str">
            <v>C3</v>
          </cell>
          <cell r="N217" t="str">
            <v>DIGITAL MEDIA</v>
          </cell>
          <cell r="O217" t="str">
            <v>A240</v>
          </cell>
          <cell r="P217" t="str">
            <v>SEARCH</v>
          </cell>
          <cell r="Q217" t="str">
            <v>2024</v>
          </cell>
          <cell r="R217" t="str">
            <v>L9YZ7E</v>
          </cell>
          <cell r="S217" t="str">
            <v>COMERCIAL ECCSA S A</v>
          </cell>
          <cell r="T217" t="str">
            <v/>
          </cell>
        </row>
        <row r="218">
          <cell r="C218" t="str">
            <v>T24C850000273</v>
          </cell>
          <cell r="D218" t="str">
            <v>A24C850000380</v>
          </cell>
          <cell r="E218">
            <v>1500000</v>
          </cell>
          <cell r="F218">
            <v>0</v>
          </cell>
          <cell r="G218" t="str">
            <v>Mobile Phone</v>
          </cell>
          <cell r="H218" t="str">
            <v>[4]TAB AON CAMPAIGN RETAILERS FEBRUARY &amp; MARCH</v>
          </cell>
          <cell r="I218" t="str">
            <v>Closed</v>
          </cell>
          <cell r="J218" t="str">
            <v>fernandez.r</v>
          </cell>
          <cell r="K218">
            <v>45337</v>
          </cell>
          <cell r="L218">
            <v>45443</v>
          </cell>
          <cell r="M218" t="str">
            <v>G1</v>
          </cell>
          <cell r="N218" t="str">
            <v>DIGITAL MEDIA</v>
          </cell>
          <cell r="O218" t="str">
            <v>A240</v>
          </cell>
          <cell r="P218" t="str">
            <v>SEARCH</v>
          </cell>
          <cell r="Q218" t="str">
            <v>2024</v>
          </cell>
          <cell r="R218" t="str">
            <v>L9YZ7E</v>
          </cell>
          <cell r="S218" t="str">
            <v>COMERCIAL ECCSA S A</v>
          </cell>
          <cell r="T218" t="str">
            <v/>
          </cell>
        </row>
        <row r="219">
          <cell r="C219" t="str">
            <v>T24C850000273</v>
          </cell>
          <cell r="D219" t="str">
            <v>A24C850000380</v>
          </cell>
          <cell r="E219">
            <v>1500000</v>
          </cell>
          <cell r="F219">
            <v>0</v>
          </cell>
          <cell r="G219" t="str">
            <v>Mobile Phone</v>
          </cell>
          <cell r="H219" t="str">
            <v>[4]TAB AON CAMPAIGN RETAILERS FEBRUARY &amp; MARCH</v>
          </cell>
          <cell r="I219" t="str">
            <v>Closed</v>
          </cell>
          <cell r="J219" t="str">
            <v>fernandez.r</v>
          </cell>
          <cell r="K219">
            <v>45337</v>
          </cell>
          <cell r="L219">
            <v>45443</v>
          </cell>
          <cell r="M219" t="str">
            <v>G1</v>
          </cell>
          <cell r="N219" t="str">
            <v>DIGITAL MEDIA</v>
          </cell>
          <cell r="O219" t="str">
            <v>A240</v>
          </cell>
          <cell r="P219" t="str">
            <v>SEARCH</v>
          </cell>
          <cell r="Q219" t="str">
            <v>2024</v>
          </cell>
          <cell r="R219" t="str">
            <v>L9YZ7E</v>
          </cell>
          <cell r="S219" t="str">
            <v>COMERCIAL ECCSA S A</v>
          </cell>
          <cell r="T219" t="str">
            <v/>
          </cell>
        </row>
        <row r="220">
          <cell r="C220" t="str">
            <v>T24C850000273</v>
          </cell>
          <cell r="D220" t="str">
            <v>A24C850000380</v>
          </cell>
          <cell r="E220">
            <v>0</v>
          </cell>
          <cell r="F220">
            <v>3000000</v>
          </cell>
          <cell r="G220" t="str">
            <v>Mobile Phone</v>
          </cell>
          <cell r="H220" t="str">
            <v>[4]TAB AON CAMPAIGN RETAILERS FEBRUARY &amp; MARCH</v>
          </cell>
          <cell r="I220" t="str">
            <v>Closed</v>
          </cell>
          <cell r="J220" t="str">
            <v>fernandez.r</v>
          </cell>
          <cell r="K220">
            <v>45337</v>
          </cell>
          <cell r="L220">
            <v>45443</v>
          </cell>
          <cell r="M220" t="str">
            <v>G1</v>
          </cell>
          <cell r="N220" t="str">
            <v>DIGITAL MEDIA</v>
          </cell>
          <cell r="O220" t="str">
            <v>A240</v>
          </cell>
          <cell r="P220" t="str">
            <v>SEARCH</v>
          </cell>
          <cell r="Q220" t="str">
            <v>2024</v>
          </cell>
          <cell r="R220" t="str">
            <v>L9YZ7E</v>
          </cell>
          <cell r="S220" t="str">
            <v>COMERCIAL ECCSA S A</v>
          </cell>
          <cell r="T220" t="str">
            <v/>
          </cell>
        </row>
        <row r="221">
          <cell r="C221" t="str">
            <v>T24C850000344</v>
          </cell>
          <cell r="D221" t="str">
            <v>A24C850000517</v>
          </cell>
          <cell r="E221">
            <v>2256887</v>
          </cell>
          <cell r="F221">
            <v>0</v>
          </cell>
          <cell r="G221" t="str">
            <v>Mobile Phone</v>
          </cell>
          <cell r="H221" t="str">
            <v>[1]HHP AON CAMPAIGN RETAILERS MARCH - RIPLEY</v>
          </cell>
          <cell r="I221" t="str">
            <v>Closed</v>
          </cell>
          <cell r="J221" t="str">
            <v>fernandez.r</v>
          </cell>
          <cell r="K221">
            <v>45363</v>
          </cell>
          <cell r="L221">
            <v>45443</v>
          </cell>
          <cell r="M221" t="str">
            <v>G1</v>
          </cell>
          <cell r="N221" t="str">
            <v>DIGITAL MEDIA</v>
          </cell>
          <cell r="O221" t="str">
            <v>A250</v>
          </cell>
          <cell r="P221" t="str">
            <v>DISPLAY</v>
          </cell>
          <cell r="Q221" t="str">
            <v>2024</v>
          </cell>
          <cell r="R221" t="str">
            <v>L9YZ7E</v>
          </cell>
          <cell r="S221" t="str">
            <v>COMERCIAL ECCSA S A</v>
          </cell>
          <cell r="T221" t="str">
            <v/>
          </cell>
        </row>
        <row r="222">
          <cell r="C222" t="str">
            <v>T24C850000344</v>
          </cell>
          <cell r="D222" t="str">
            <v>A24C850000517</v>
          </cell>
          <cell r="E222">
            <v>0</v>
          </cell>
          <cell r="F222">
            <v>2256887</v>
          </cell>
          <cell r="G222" t="str">
            <v>Mobile Phone</v>
          </cell>
          <cell r="H222" t="str">
            <v>[1]HHP AON CAMPAIGN RETAILERS MARCH - RIPLEY</v>
          </cell>
          <cell r="I222" t="str">
            <v>Closed</v>
          </cell>
          <cell r="J222" t="str">
            <v>fernandez.r</v>
          </cell>
          <cell r="K222">
            <v>45363</v>
          </cell>
          <cell r="L222">
            <v>45443</v>
          </cell>
          <cell r="M222" t="str">
            <v>G1</v>
          </cell>
          <cell r="N222" t="str">
            <v>DIGITAL MEDIA</v>
          </cell>
          <cell r="O222" t="str">
            <v>A250</v>
          </cell>
          <cell r="P222" t="str">
            <v>DISPLAY</v>
          </cell>
          <cell r="Q222" t="str">
            <v>2024</v>
          </cell>
          <cell r="R222" t="str">
            <v>L9YZ7E</v>
          </cell>
          <cell r="S222" t="str">
            <v>COMERCIAL ECCSA S A</v>
          </cell>
          <cell r="T222" t="str">
            <v/>
          </cell>
        </row>
        <row r="223">
          <cell r="C223" t="str">
            <v>T24C850000344</v>
          </cell>
          <cell r="D223" t="str">
            <v>A24C850000517</v>
          </cell>
          <cell r="E223">
            <v>5000000</v>
          </cell>
          <cell r="F223">
            <v>0</v>
          </cell>
          <cell r="G223" t="str">
            <v>Mobile Phone</v>
          </cell>
          <cell r="H223" t="str">
            <v>[1]HHP AON CAMPAIGN RETAILERS MARCH - RIPLEY</v>
          </cell>
          <cell r="I223" t="str">
            <v>Closed</v>
          </cell>
          <cell r="J223" t="str">
            <v>fernandez.r</v>
          </cell>
          <cell r="K223">
            <v>45363</v>
          </cell>
          <cell r="L223">
            <v>45443</v>
          </cell>
          <cell r="M223" t="str">
            <v>G1</v>
          </cell>
          <cell r="N223" t="str">
            <v>DIGITAL MEDIA</v>
          </cell>
          <cell r="O223" t="str">
            <v>A240</v>
          </cell>
          <cell r="P223" t="str">
            <v>SEARCH</v>
          </cell>
          <cell r="Q223" t="str">
            <v>2024</v>
          </cell>
          <cell r="R223" t="str">
            <v>L9YZ7E</v>
          </cell>
          <cell r="S223" t="str">
            <v>COMERCIAL ECCSA S A</v>
          </cell>
          <cell r="T223" t="str">
            <v/>
          </cell>
        </row>
        <row r="224">
          <cell r="C224" t="str">
            <v>T24C850000344</v>
          </cell>
          <cell r="D224" t="str">
            <v>A24C850000517</v>
          </cell>
          <cell r="E224">
            <v>0</v>
          </cell>
          <cell r="F224">
            <v>5000000</v>
          </cell>
          <cell r="G224" t="str">
            <v>Mobile Phone</v>
          </cell>
          <cell r="H224" t="str">
            <v>[1]HHP AON CAMPAIGN RETAILERS MARCH - RIPLEY</v>
          </cell>
          <cell r="I224" t="str">
            <v>Closed</v>
          </cell>
          <cell r="J224" t="str">
            <v>fernandez.r</v>
          </cell>
          <cell r="K224">
            <v>45363</v>
          </cell>
          <cell r="L224">
            <v>45443</v>
          </cell>
          <cell r="M224" t="str">
            <v>G1</v>
          </cell>
          <cell r="N224" t="str">
            <v>DIGITAL MEDIA</v>
          </cell>
          <cell r="O224" t="str">
            <v>A240</v>
          </cell>
          <cell r="P224" t="str">
            <v>SEARCH</v>
          </cell>
          <cell r="Q224" t="str">
            <v>2024</v>
          </cell>
          <cell r="R224" t="str">
            <v>L9YZ7E</v>
          </cell>
          <cell r="S224" t="str">
            <v>COMERCIAL ECCSA S A</v>
          </cell>
          <cell r="T224" t="str">
            <v/>
          </cell>
        </row>
        <row r="225">
          <cell r="C225" t="str">
            <v>T24C850000359</v>
          </cell>
          <cell r="D225" t="str">
            <v>A24C850000539</v>
          </cell>
          <cell r="E225">
            <v>2256887</v>
          </cell>
          <cell r="F225">
            <v>0</v>
          </cell>
          <cell r="G225" t="str">
            <v>Mobile Phone</v>
          </cell>
          <cell r="H225" t="str">
            <v>[1]HHP AON CAMPAIGN RETAILERS MAY - RIPLEY</v>
          </cell>
          <cell r="I225" t="str">
            <v>Completed</v>
          </cell>
          <cell r="J225" t="str">
            <v>fernandez.r</v>
          </cell>
          <cell r="K225">
            <v>45413</v>
          </cell>
          <cell r="L225">
            <v>45504</v>
          </cell>
          <cell r="M225" t="str">
            <v>G1</v>
          </cell>
          <cell r="N225" t="str">
            <v>DIGITAL MEDIA</v>
          </cell>
          <cell r="O225" t="str">
            <v>A250</v>
          </cell>
          <cell r="P225" t="str">
            <v>DISPLAY</v>
          </cell>
          <cell r="Q225" t="str">
            <v>2024</v>
          </cell>
          <cell r="R225" t="str">
            <v>L9YZ7E</v>
          </cell>
          <cell r="S225" t="str">
            <v>COMERCIAL ECCSA S A</v>
          </cell>
          <cell r="T225" t="str">
            <v/>
          </cell>
        </row>
        <row r="226">
          <cell r="C226" t="str">
            <v>T24C850000359</v>
          </cell>
          <cell r="D226" t="str">
            <v>A24C850000539</v>
          </cell>
          <cell r="E226">
            <v>0</v>
          </cell>
          <cell r="F226">
            <v>2256887</v>
          </cell>
          <cell r="G226" t="str">
            <v>Mobile Phone</v>
          </cell>
          <cell r="H226" t="str">
            <v>[1]HHP AON CAMPAIGN RETAILERS MAY - RIPLEY</v>
          </cell>
          <cell r="I226" t="str">
            <v>Completed</v>
          </cell>
          <cell r="J226" t="str">
            <v>fernandez.r</v>
          </cell>
          <cell r="K226">
            <v>45413</v>
          </cell>
          <cell r="L226">
            <v>45504</v>
          </cell>
          <cell r="M226" t="str">
            <v>G1</v>
          </cell>
          <cell r="N226" t="str">
            <v>DIGITAL MEDIA</v>
          </cell>
          <cell r="O226" t="str">
            <v>A250</v>
          </cell>
          <cell r="P226" t="str">
            <v>DISPLAY</v>
          </cell>
          <cell r="Q226" t="str">
            <v>2024</v>
          </cell>
          <cell r="R226" t="str">
            <v>L9YZ7E</v>
          </cell>
          <cell r="S226" t="str">
            <v>COMERCIAL ECCSA S A</v>
          </cell>
          <cell r="T226" t="str">
            <v/>
          </cell>
        </row>
        <row r="227">
          <cell r="C227" t="str">
            <v>T24C850000359</v>
          </cell>
          <cell r="D227" t="str">
            <v>A24C850000539</v>
          </cell>
          <cell r="E227">
            <v>5000000</v>
          </cell>
          <cell r="F227">
            <v>0</v>
          </cell>
          <cell r="G227" t="str">
            <v>Mobile Phone</v>
          </cell>
          <cell r="H227" t="str">
            <v>[1]HHP AON CAMPAIGN RETAILERS MAY - RIPLEY</v>
          </cell>
          <cell r="I227" t="str">
            <v>Completed</v>
          </cell>
          <cell r="J227" t="str">
            <v>fernandez.r</v>
          </cell>
          <cell r="K227">
            <v>45413</v>
          </cell>
          <cell r="L227">
            <v>45504</v>
          </cell>
          <cell r="M227" t="str">
            <v>G1</v>
          </cell>
          <cell r="N227" t="str">
            <v>DIGITAL MEDIA</v>
          </cell>
          <cell r="O227" t="str">
            <v>A240</v>
          </cell>
          <cell r="P227" t="str">
            <v>SEARCH</v>
          </cell>
          <cell r="Q227" t="str">
            <v>2024</v>
          </cell>
          <cell r="R227" t="str">
            <v>L9YZ7E</v>
          </cell>
          <cell r="S227" t="str">
            <v>COMERCIAL ECCSA S A</v>
          </cell>
          <cell r="T227" t="str">
            <v/>
          </cell>
        </row>
        <row r="228">
          <cell r="C228" t="str">
            <v>T24C850000359</v>
          </cell>
          <cell r="D228" t="str">
            <v>A24C850000539</v>
          </cell>
          <cell r="E228">
            <v>0</v>
          </cell>
          <cell r="F228">
            <v>5000000</v>
          </cell>
          <cell r="G228" t="str">
            <v>Mobile Phone</v>
          </cell>
          <cell r="H228" t="str">
            <v>[1]HHP AON CAMPAIGN RETAILERS MAY - RIPLEY</v>
          </cell>
          <cell r="I228" t="str">
            <v>Completed</v>
          </cell>
          <cell r="J228" t="str">
            <v>fernandez.r</v>
          </cell>
          <cell r="K228">
            <v>45413</v>
          </cell>
          <cell r="L228">
            <v>45504</v>
          </cell>
          <cell r="M228" t="str">
            <v>G1</v>
          </cell>
          <cell r="N228" t="str">
            <v>DIGITAL MEDIA</v>
          </cell>
          <cell r="O228" t="str">
            <v>A240</v>
          </cell>
          <cell r="P228" t="str">
            <v>SEARCH</v>
          </cell>
          <cell r="Q228" t="str">
            <v>2024</v>
          </cell>
          <cell r="R228" t="str">
            <v>L9YZ7E</v>
          </cell>
          <cell r="S228" t="str">
            <v>COMERCIAL ECCSA S A</v>
          </cell>
          <cell r="T228" t="str">
            <v/>
          </cell>
        </row>
        <row r="229">
          <cell r="C229" t="str">
            <v>T24C850000361</v>
          </cell>
          <cell r="D229" t="str">
            <v>A24C850000531</v>
          </cell>
          <cell r="E229">
            <v>2256887</v>
          </cell>
          <cell r="F229">
            <v>0</v>
          </cell>
          <cell r="G229" t="str">
            <v>Mobile Phone</v>
          </cell>
          <cell r="H229" t="str">
            <v>[1]HHP AON CAMPAIGN RETAILERS APRIL - RIPLEY</v>
          </cell>
          <cell r="I229" t="str">
            <v>Closed</v>
          </cell>
          <cell r="J229" t="str">
            <v>fernandez.r</v>
          </cell>
          <cell r="K229">
            <v>45383</v>
          </cell>
          <cell r="L229">
            <v>45473</v>
          </cell>
          <cell r="M229" t="str">
            <v>G1</v>
          </cell>
          <cell r="N229" t="str">
            <v>DIGITAL MEDIA</v>
          </cell>
          <cell r="O229" t="str">
            <v>A250</v>
          </cell>
          <cell r="P229" t="str">
            <v>DISPLAY</v>
          </cell>
          <cell r="Q229" t="str">
            <v>2024</v>
          </cell>
          <cell r="R229" t="str">
            <v>L9YZ7E</v>
          </cell>
          <cell r="S229" t="str">
            <v>COMERCIAL ECCSA S A</v>
          </cell>
          <cell r="T229" t="str">
            <v/>
          </cell>
        </row>
        <row r="230">
          <cell r="C230" t="str">
            <v>T24C850000361</v>
          </cell>
          <cell r="D230" t="str">
            <v>A24C850000531</v>
          </cell>
          <cell r="E230">
            <v>-28987</v>
          </cell>
          <cell r="F230">
            <v>2227900</v>
          </cell>
          <cell r="G230" t="str">
            <v>Mobile Phone</v>
          </cell>
          <cell r="H230" t="str">
            <v>[1]HHP AON CAMPAIGN RETAILERS APRIL - RIPLEY</v>
          </cell>
          <cell r="I230" t="str">
            <v>Closed</v>
          </cell>
          <cell r="J230" t="str">
            <v>fernandez.r</v>
          </cell>
          <cell r="K230">
            <v>45383</v>
          </cell>
          <cell r="L230">
            <v>45473</v>
          </cell>
          <cell r="M230" t="str">
            <v>G1</v>
          </cell>
          <cell r="N230" t="str">
            <v>DIGITAL MEDIA</v>
          </cell>
          <cell r="O230" t="str">
            <v>A250</v>
          </cell>
          <cell r="P230" t="str">
            <v>DISPLAY</v>
          </cell>
          <cell r="Q230" t="str">
            <v>2024</v>
          </cell>
          <cell r="R230" t="str">
            <v>L9YZ7E</v>
          </cell>
          <cell r="S230" t="str">
            <v>COMERCIAL ECCSA S A</v>
          </cell>
          <cell r="T230" t="str">
            <v/>
          </cell>
        </row>
        <row r="231">
          <cell r="C231" t="str">
            <v>T24C850000361</v>
          </cell>
          <cell r="D231" t="str">
            <v>A24C850000531</v>
          </cell>
          <cell r="E231">
            <v>5000000</v>
          </cell>
          <cell r="F231">
            <v>0</v>
          </cell>
          <cell r="G231" t="str">
            <v>Mobile Phone</v>
          </cell>
          <cell r="H231" t="str">
            <v>[1]HHP AON CAMPAIGN RETAILERS APRIL - RIPLEY</v>
          </cell>
          <cell r="I231" t="str">
            <v>Closed</v>
          </cell>
          <cell r="J231" t="str">
            <v>fernandez.r</v>
          </cell>
          <cell r="K231">
            <v>45383</v>
          </cell>
          <cell r="L231">
            <v>45473</v>
          </cell>
          <cell r="M231" t="str">
            <v>G1</v>
          </cell>
          <cell r="N231" t="str">
            <v>DIGITAL MEDIA</v>
          </cell>
          <cell r="O231" t="str">
            <v>A240</v>
          </cell>
          <cell r="P231" t="str">
            <v>SEARCH</v>
          </cell>
          <cell r="Q231" t="str">
            <v>2024</v>
          </cell>
          <cell r="R231" t="str">
            <v>L9YZ7E</v>
          </cell>
          <cell r="S231" t="str">
            <v>COMERCIAL ECCSA S A</v>
          </cell>
          <cell r="T231" t="str">
            <v/>
          </cell>
        </row>
        <row r="232">
          <cell r="C232" t="str">
            <v>T24C850000361</v>
          </cell>
          <cell r="D232" t="str">
            <v>A24C850000531</v>
          </cell>
          <cell r="E232">
            <v>0</v>
          </cell>
          <cell r="F232">
            <v>5000000</v>
          </cell>
          <cell r="G232" t="str">
            <v>Mobile Phone</v>
          </cell>
          <cell r="H232" t="str">
            <v>[1]HHP AON CAMPAIGN RETAILERS APRIL - RIPLEY</v>
          </cell>
          <cell r="I232" t="str">
            <v>Closed</v>
          </cell>
          <cell r="J232" t="str">
            <v>fernandez.r</v>
          </cell>
          <cell r="K232">
            <v>45383</v>
          </cell>
          <cell r="L232">
            <v>45473</v>
          </cell>
          <cell r="M232" t="str">
            <v>G1</v>
          </cell>
          <cell r="N232" t="str">
            <v>DIGITAL MEDIA</v>
          </cell>
          <cell r="O232" t="str">
            <v>A240</v>
          </cell>
          <cell r="P232" t="str">
            <v>SEARCH</v>
          </cell>
          <cell r="Q232" t="str">
            <v>2024</v>
          </cell>
          <cell r="R232" t="str">
            <v>L9YZ7E</v>
          </cell>
          <cell r="S232" t="str">
            <v>COMERCIAL ECCSA S A</v>
          </cell>
          <cell r="T232" t="str">
            <v/>
          </cell>
        </row>
        <row r="233">
          <cell r="C233" t="str">
            <v>T24C850000404</v>
          </cell>
          <cell r="D233" t="str">
            <v>A24C850000623</v>
          </cell>
          <cell r="E233">
            <v>3000000</v>
          </cell>
          <cell r="F233">
            <v>0</v>
          </cell>
          <cell r="G233" t="str">
            <v>Mobile Phone</v>
          </cell>
          <cell r="H233" t="str">
            <v>[1]RETAIL -  RIPLEY - WEAR - MARCH</v>
          </cell>
          <cell r="I233" t="str">
            <v>Closed</v>
          </cell>
          <cell r="J233" t="str">
            <v>fernandez.r</v>
          </cell>
          <cell r="K233">
            <v>45378</v>
          </cell>
          <cell r="L233">
            <v>45443</v>
          </cell>
          <cell r="M233" t="str">
            <v>G1</v>
          </cell>
          <cell r="N233" t="str">
            <v>DIGITAL MEDIA</v>
          </cell>
          <cell r="O233" t="str">
            <v>A240</v>
          </cell>
          <cell r="P233" t="str">
            <v>SEARCH</v>
          </cell>
          <cell r="Q233" t="str">
            <v>2024</v>
          </cell>
          <cell r="R233" t="str">
            <v>L9YZ7E</v>
          </cell>
          <cell r="S233" t="str">
            <v>COMERCIAL ECCSA S A</v>
          </cell>
          <cell r="T233" t="str">
            <v/>
          </cell>
        </row>
        <row r="234">
          <cell r="C234" t="str">
            <v>T24C850000404</v>
          </cell>
          <cell r="D234" t="str">
            <v>A24C850000623</v>
          </cell>
          <cell r="E234">
            <v>0</v>
          </cell>
          <cell r="F234">
            <v>1000000</v>
          </cell>
          <cell r="G234" t="str">
            <v>Mobile Phone</v>
          </cell>
          <cell r="H234" t="str">
            <v>[1]RETAIL -  RIPLEY - WEAR - MARCH</v>
          </cell>
          <cell r="I234" t="str">
            <v>Closed</v>
          </cell>
          <cell r="J234" t="str">
            <v>fernandez.r</v>
          </cell>
          <cell r="K234">
            <v>45378</v>
          </cell>
          <cell r="L234">
            <v>45443</v>
          </cell>
          <cell r="M234" t="str">
            <v>G1</v>
          </cell>
          <cell r="N234" t="str">
            <v>DIGITAL MEDIA</v>
          </cell>
          <cell r="O234" t="str">
            <v>A240</v>
          </cell>
          <cell r="P234" t="str">
            <v>SEARCH</v>
          </cell>
          <cell r="Q234" t="str">
            <v>2024</v>
          </cell>
          <cell r="R234" t="str">
            <v>L9YZ7E</v>
          </cell>
          <cell r="S234" t="str">
            <v>COMERCIAL ECCSA S A</v>
          </cell>
          <cell r="T234" t="str">
            <v/>
          </cell>
        </row>
        <row r="235">
          <cell r="C235" t="str">
            <v>T24C850000404</v>
          </cell>
          <cell r="D235" t="str">
            <v>A24C850000623</v>
          </cell>
          <cell r="E235">
            <v>0</v>
          </cell>
          <cell r="F235">
            <v>2000000</v>
          </cell>
          <cell r="G235" t="str">
            <v>Mobile Phone</v>
          </cell>
          <cell r="H235" t="str">
            <v>[1]RETAIL -  RIPLEY - WEAR - MARCH</v>
          </cell>
          <cell r="I235" t="str">
            <v>Closed</v>
          </cell>
          <cell r="J235" t="str">
            <v>fernandez.r</v>
          </cell>
          <cell r="K235">
            <v>45378</v>
          </cell>
          <cell r="L235">
            <v>45443</v>
          </cell>
          <cell r="M235" t="str">
            <v>G1</v>
          </cell>
          <cell r="N235" t="str">
            <v>DIGITAL MEDIA</v>
          </cell>
          <cell r="O235" t="str">
            <v>A240</v>
          </cell>
          <cell r="P235" t="str">
            <v>SEARCH</v>
          </cell>
          <cell r="Q235" t="str">
            <v>2024</v>
          </cell>
          <cell r="R235" t="str">
            <v>L9YZ7E</v>
          </cell>
          <cell r="S235" t="str">
            <v>COMERCIAL ECCSA S A</v>
          </cell>
          <cell r="T235" t="str">
            <v/>
          </cell>
        </row>
        <row r="236">
          <cell r="C236" t="str">
            <v>T24C850000404</v>
          </cell>
          <cell r="D236" t="str">
            <v>A24C850000623</v>
          </cell>
          <cell r="E236">
            <v>2000000</v>
          </cell>
          <cell r="F236">
            <v>0</v>
          </cell>
          <cell r="G236" t="str">
            <v>Mobile Phone</v>
          </cell>
          <cell r="H236" t="str">
            <v>[1]RETAIL -  RIPLEY - WEAR - MARCH</v>
          </cell>
          <cell r="I236" t="str">
            <v>Closed</v>
          </cell>
          <cell r="J236" t="str">
            <v>fernandez.r</v>
          </cell>
          <cell r="K236">
            <v>45378</v>
          </cell>
          <cell r="L236">
            <v>45443</v>
          </cell>
          <cell r="M236" t="str">
            <v>G1</v>
          </cell>
          <cell r="N236" t="str">
            <v>DIGITAL MEDIA</v>
          </cell>
          <cell r="O236" t="str">
            <v>A250</v>
          </cell>
          <cell r="P236" t="str">
            <v>DISPLAY</v>
          </cell>
          <cell r="Q236" t="str">
            <v>2024</v>
          </cell>
          <cell r="R236" t="str">
            <v>L9YZ7E</v>
          </cell>
          <cell r="S236" t="str">
            <v>COMERCIAL ECCSA S A</v>
          </cell>
          <cell r="T236" t="str">
            <v/>
          </cell>
        </row>
        <row r="237">
          <cell r="C237" t="str">
            <v>T24C850000404</v>
          </cell>
          <cell r="D237" t="str">
            <v>A24C850000623</v>
          </cell>
          <cell r="E237">
            <v>0</v>
          </cell>
          <cell r="F237">
            <v>2000000</v>
          </cell>
          <cell r="G237" t="str">
            <v>Mobile Phone</v>
          </cell>
          <cell r="H237" t="str">
            <v>[1]RETAIL -  RIPLEY - WEAR - MARCH</v>
          </cell>
          <cell r="I237" t="str">
            <v>Closed</v>
          </cell>
          <cell r="J237" t="str">
            <v>fernandez.r</v>
          </cell>
          <cell r="K237">
            <v>45378</v>
          </cell>
          <cell r="L237">
            <v>45443</v>
          </cell>
          <cell r="M237" t="str">
            <v>G1</v>
          </cell>
          <cell r="N237" t="str">
            <v>DIGITAL MEDIA</v>
          </cell>
          <cell r="O237" t="str">
            <v>A250</v>
          </cell>
          <cell r="P237" t="str">
            <v>DISPLAY</v>
          </cell>
          <cell r="Q237" t="str">
            <v>2024</v>
          </cell>
          <cell r="R237" t="str">
            <v>L9YZ7E</v>
          </cell>
          <cell r="S237" t="str">
            <v>COMERCIAL ECCSA S A</v>
          </cell>
          <cell r="T237" t="str">
            <v/>
          </cell>
        </row>
        <row r="238">
          <cell r="C238" t="str">
            <v>T24C850000511</v>
          </cell>
          <cell r="D238" t="str">
            <v>A24C850000712</v>
          </cell>
          <cell r="E238">
            <v>4000000</v>
          </cell>
          <cell r="F238">
            <v>0</v>
          </cell>
          <cell r="G238" t="str">
            <v>Mobile Phone</v>
          </cell>
          <cell r="H238" t="str">
            <v>[3]A SERIES CAMPAIGN - RETAILERS - APRIL</v>
          </cell>
          <cell r="I238" t="str">
            <v>Closed</v>
          </cell>
          <cell r="J238" t="str">
            <v>fernandez.r</v>
          </cell>
          <cell r="K238">
            <v>45385</v>
          </cell>
          <cell r="L238">
            <v>45504</v>
          </cell>
          <cell r="M238" t="str">
            <v>G1</v>
          </cell>
          <cell r="N238" t="str">
            <v>DIGITAL MEDIA</v>
          </cell>
          <cell r="O238" t="str">
            <v>A250</v>
          </cell>
          <cell r="P238" t="str">
            <v>DISPLAY</v>
          </cell>
          <cell r="Q238" t="str">
            <v>2024</v>
          </cell>
          <cell r="R238" t="str">
            <v>L9YZ7E</v>
          </cell>
          <cell r="S238" t="str">
            <v>COMERCIAL ECCSA S A</v>
          </cell>
          <cell r="T238" t="str">
            <v/>
          </cell>
        </row>
        <row r="239">
          <cell r="C239" t="str">
            <v>T24C850000511</v>
          </cell>
          <cell r="D239" t="str">
            <v>A24C850000712</v>
          </cell>
          <cell r="E239">
            <v>0</v>
          </cell>
          <cell r="F239">
            <v>3966266</v>
          </cell>
          <cell r="G239" t="str">
            <v>Mobile Phone</v>
          </cell>
          <cell r="H239" t="str">
            <v>[3]A SERIES CAMPAIGN - RETAILERS - APRIL</v>
          </cell>
          <cell r="I239" t="str">
            <v>Closed</v>
          </cell>
          <cell r="J239" t="str">
            <v>fernandez.r</v>
          </cell>
          <cell r="K239">
            <v>45385</v>
          </cell>
          <cell r="L239">
            <v>45504</v>
          </cell>
          <cell r="M239" t="str">
            <v>G1</v>
          </cell>
          <cell r="N239" t="str">
            <v>DIGITAL MEDIA</v>
          </cell>
          <cell r="O239" t="str">
            <v>A250</v>
          </cell>
          <cell r="P239" t="str">
            <v>DISPLAY</v>
          </cell>
          <cell r="Q239" t="str">
            <v>2024</v>
          </cell>
          <cell r="R239" t="str">
            <v>L9YZ7E</v>
          </cell>
          <cell r="S239" t="str">
            <v>COMERCIAL ECCSA S A</v>
          </cell>
          <cell r="T239" t="str">
            <v/>
          </cell>
        </row>
        <row r="240">
          <cell r="C240" t="str">
            <v>T24C850000511</v>
          </cell>
          <cell r="D240" t="str">
            <v>A24C850000712</v>
          </cell>
          <cell r="E240">
            <v>-33734</v>
          </cell>
          <cell r="F240">
            <v>0</v>
          </cell>
          <cell r="G240" t="str">
            <v>Mobile Phone</v>
          </cell>
          <cell r="H240" t="str">
            <v>[3]A SERIES CAMPAIGN - RETAILERS - APRIL</v>
          </cell>
          <cell r="I240" t="str">
            <v>Closed</v>
          </cell>
          <cell r="J240" t="str">
            <v>fernandez.r</v>
          </cell>
          <cell r="K240">
            <v>45385</v>
          </cell>
          <cell r="L240">
            <v>45504</v>
          </cell>
          <cell r="M240" t="str">
            <v>G1</v>
          </cell>
          <cell r="N240" t="str">
            <v>DIGITAL MEDIA</v>
          </cell>
          <cell r="O240" t="str">
            <v>A250</v>
          </cell>
          <cell r="P240" t="str">
            <v>DISPLAY</v>
          </cell>
          <cell r="Q240" t="str">
            <v>2024</v>
          </cell>
          <cell r="R240" t="str">
            <v>L9YZ7E</v>
          </cell>
          <cell r="S240" t="str">
            <v>COMERCIAL ECCSA S A</v>
          </cell>
          <cell r="T240" t="str">
            <v/>
          </cell>
        </row>
        <row r="241">
          <cell r="C241" t="str">
            <v>T24C850000511</v>
          </cell>
          <cell r="D241" t="str">
            <v>A24C850000712</v>
          </cell>
          <cell r="E241">
            <v>3000000</v>
          </cell>
          <cell r="F241">
            <v>0</v>
          </cell>
          <cell r="G241" t="str">
            <v>Mobile Phone</v>
          </cell>
          <cell r="H241" t="str">
            <v>[3]A SERIES CAMPAIGN - RETAILERS - APRIL</v>
          </cell>
          <cell r="I241" t="str">
            <v>Closed</v>
          </cell>
          <cell r="J241" t="str">
            <v>fernandez.r</v>
          </cell>
          <cell r="K241">
            <v>45385</v>
          </cell>
          <cell r="L241">
            <v>45504</v>
          </cell>
          <cell r="M241" t="str">
            <v>G1</v>
          </cell>
          <cell r="N241" t="str">
            <v>DIGITAL MEDIA</v>
          </cell>
          <cell r="O241" t="str">
            <v>A230</v>
          </cell>
          <cell r="P241" t="str">
            <v>SOCIAL ADS</v>
          </cell>
          <cell r="Q241" t="str">
            <v>2024</v>
          </cell>
          <cell r="R241" t="str">
            <v>L9YZ7E</v>
          </cell>
          <cell r="S241" t="str">
            <v>COMERCIAL ECCSA S A</v>
          </cell>
          <cell r="T241" t="str">
            <v/>
          </cell>
        </row>
        <row r="242">
          <cell r="C242" t="str">
            <v>T24C850000511</v>
          </cell>
          <cell r="D242" t="str">
            <v>A24C850000712</v>
          </cell>
          <cell r="E242">
            <v>0</v>
          </cell>
          <cell r="F242">
            <v>3000000</v>
          </cell>
          <cell r="G242" t="str">
            <v>Mobile Phone</v>
          </cell>
          <cell r="H242" t="str">
            <v>[3]A SERIES CAMPAIGN - RETAILERS - APRIL</v>
          </cell>
          <cell r="I242" t="str">
            <v>Closed</v>
          </cell>
          <cell r="J242" t="str">
            <v>fernandez.r</v>
          </cell>
          <cell r="K242">
            <v>45385</v>
          </cell>
          <cell r="L242">
            <v>45504</v>
          </cell>
          <cell r="M242" t="str">
            <v>G1</v>
          </cell>
          <cell r="N242" t="str">
            <v>DIGITAL MEDIA</v>
          </cell>
          <cell r="O242" t="str">
            <v>A230</v>
          </cell>
          <cell r="P242" t="str">
            <v>SOCIAL ADS</v>
          </cell>
          <cell r="Q242" t="str">
            <v>2024</v>
          </cell>
          <cell r="R242" t="str">
            <v>L9YZ7E</v>
          </cell>
          <cell r="S242" t="str">
            <v>COMERCIAL ECCSA S A</v>
          </cell>
          <cell r="T242" t="str">
            <v/>
          </cell>
        </row>
        <row r="243">
          <cell r="C243" t="str">
            <v>T24C850000511</v>
          </cell>
          <cell r="D243" t="str">
            <v>A24C850000712</v>
          </cell>
          <cell r="E243">
            <v>7000000</v>
          </cell>
          <cell r="F243">
            <v>0</v>
          </cell>
          <cell r="G243" t="str">
            <v>Mobile Phone</v>
          </cell>
          <cell r="H243" t="str">
            <v>[3]A SERIES CAMPAIGN - RETAILERS - APRIL</v>
          </cell>
          <cell r="I243" t="str">
            <v>Closed</v>
          </cell>
          <cell r="J243" t="str">
            <v>fernandez.r</v>
          </cell>
          <cell r="K243">
            <v>45385</v>
          </cell>
          <cell r="L243">
            <v>45504</v>
          </cell>
          <cell r="M243" t="str">
            <v>G1</v>
          </cell>
          <cell r="N243" t="str">
            <v>DIGITAL MEDIA</v>
          </cell>
          <cell r="O243" t="str">
            <v>A240</v>
          </cell>
          <cell r="P243" t="str">
            <v>SEARCH</v>
          </cell>
          <cell r="Q243" t="str">
            <v>2024</v>
          </cell>
          <cell r="R243" t="str">
            <v>L9YZ7E</v>
          </cell>
          <cell r="S243" t="str">
            <v>COMERCIAL ECCSA S A</v>
          </cell>
          <cell r="T243" t="str">
            <v/>
          </cell>
        </row>
        <row r="244">
          <cell r="C244" t="str">
            <v>T24C850000511</v>
          </cell>
          <cell r="D244" t="str">
            <v>A24C850000712</v>
          </cell>
          <cell r="E244">
            <v>0</v>
          </cell>
          <cell r="F244">
            <v>7000000</v>
          </cell>
          <cell r="G244" t="str">
            <v>Mobile Phone</v>
          </cell>
          <cell r="H244" t="str">
            <v>[3]A SERIES CAMPAIGN - RETAILERS - APRIL</v>
          </cell>
          <cell r="I244" t="str">
            <v>Closed</v>
          </cell>
          <cell r="J244" t="str">
            <v>fernandez.r</v>
          </cell>
          <cell r="K244">
            <v>45385</v>
          </cell>
          <cell r="L244">
            <v>45504</v>
          </cell>
          <cell r="M244" t="str">
            <v>G1</v>
          </cell>
          <cell r="N244" t="str">
            <v>DIGITAL MEDIA</v>
          </cell>
          <cell r="O244" t="str">
            <v>A240</v>
          </cell>
          <cell r="P244" t="str">
            <v>SEARCH</v>
          </cell>
          <cell r="Q244" t="str">
            <v>2024</v>
          </cell>
          <cell r="R244" t="str">
            <v>L9YZ7E</v>
          </cell>
          <cell r="S244" t="str">
            <v>COMERCIAL ECCSA S A</v>
          </cell>
          <cell r="T244" t="str">
            <v/>
          </cell>
        </row>
        <row r="245">
          <cell r="C245" t="str">
            <v>T24C850000550</v>
          </cell>
          <cell r="D245" t="str">
            <v>A24C850000813</v>
          </cell>
          <cell r="E245">
            <v>1000000</v>
          </cell>
          <cell r="F245">
            <v>0</v>
          </cell>
          <cell r="G245" t="str">
            <v>Mobile Phone</v>
          </cell>
          <cell r="H245" t="str">
            <v>[1]SAMSUNG WEEK CAMPAIGN RIPLEY - APRIL</v>
          </cell>
          <cell r="I245" t="str">
            <v>Closed</v>
          </cell>
          <cell r="J245" t="str">
            <v>fernandez.r</v>
          </cell>
          <cell r="K245">
            <v>45404</v>
          </cell>
          <cell r="L245">
            <v>45473</v>
          </cell>
          <cell r="M245" t="str">
            <v>G1</v>
          </cell>
          <cell r="N245" t="str">
            <v>DIGITAL MEDIA</v>
          </cell>
          <cell r="O245" t="str">
            <v>A250</v>
          </cell>
          <cell r="P245" t="str">
            <v>DISPLAY</v>
          </cell>
          <cell r="Q245" t="str">
            <v>2024</v>
          </cell>
          <cell r="R245" t="str">
            <v>L9YZ7E</v>
          </cell>
          <cell r="S245" t="str">
            <v>COMERCIAL ECCSA S A</v>
          </cell>
          <cell r="T245" t="str">
            <v/>
          </cell>
        </row>
        <row r="246">
          <cell r="C246" t="str">
            <v>T24C850000550</v>
          </cell>
          <cell r="D246" t="str">
            <v>A24C850000813</v>
          </cell>
          <cell r="E246">
            <v>0</v>
          </cell>
          <cell r="F246">
            <v>892130</v>
          </cell>
          <cell r="G246" t="str">
            <v>Mobile Phone</v>
          </cell>
          <cell r="H246" t="str">
            <v>[1]SAMSUNG WEEK CAMPAIGN RIPLEY - APRIL</v>
          </cell>
          <cell r="I246" t="str">
            <v>Closed</v>
          </cell>
          <cell r="J246" t="str">
            <v>fernandez.r</v>
          </cell>
          <cell r="K246">
            <v>45404</v>
          </cell>
          <cell r="L246">
            <v>45473</v>
          </cell>
          <cell r="M246" t="str">
            <v>G1</v>
          </cell>
          <cell r="N246" t="str">
            <v>DIGITAL MEDIA</v>
          </cell>
          <cell r="O246" t="str">
            <v>A250</v>
          </cell>
          <cell r="P246" t="str">
            <v>DISPLAY</v>
          </cell>
          <cell r="Q246" t="str">
            <v>2024</v>
          </cell>
          <cell r="R246" t="str">
            <v>L9YZ7E</v>
          </cell>
          <cell r="S246" t="str">
            <v>COMERCIAL ECCSA S A</v>
          </cell>
          <cell r="T246" t="str">
            <v/>
          </cell>
        </row>
        <row r="247">
          <cell r="C247" t="str">
            <v>T24C850000550</v>
          </cell>
          <cell r="D247" t="str">
            <v>A24C850000813</v>
          </cell>
          <cell r="E247">
            <v>-107870</v>
          </cell>
          <cell r="F247">
            <v>0</v>
          </cell>
          <cell r="G247" t="str">
            <v>Mobile Phone</v>
          </cell>
          <cell r="H247" t="str">
            <v>[1]SAMSUNG WEEK CAMPAIGN RIPLEY - APRIL</v>
          </cell>
          <cell r="I247" t="str">
            <v>Closed</v>
          </cell>
          <cell r="J247" t="str">
            <v>fernandez.r</v>
          </cell>
          <cell r="K247">
            <v>45404</v>
          </cell>
          <cell r="L247">
            <v>45473</v>
          </cell>
          <cell r="M247" t="str">
            <v>G1</v>
          </cell>
          <cell r="N247" t="str">
            <v>DIGITAL MEDIA</v>
          </cell>
          <cell r="O247" t="str">
            <v>A250</v>
          </cell>
          <cell r="P247" t="str">
            <v>DISPLAY</v>
          </cell>
          <cell r="Q247" t="str">
            <v>2024</v>
          </cell>
          <cell r="R247" t="str">
            <v>L9YZ7E</v>
          </cell>
          <cell r="S247" t="str">
            <v>COMERCIAL ECCSA S A</v>
          </cell>
          <cell r="T247" t="str">
            <v/>
          </cell>
        </row>
        <row r="248">
          <cell r="C248" t="str">
            <v>T24C850000550</v>
          </cell>
          <cell r="D248" t="str">
            <v>A24C850000813</v>
          </cell>
          <cell r="E248">
            <v>3000000</v>
          </cell>
          <cell r="F248">
            <v>0</v>
          </cell>
          <cell r="G248" t="str">
            <v>Mobile Phone</v>
          </cell>
          <cell r="H248" t="str">
            <v>[1]SAMSUNG WEEK CAMPAIGN RIPLEY - APRIL</v>
          </cell>
          <cell r="I248" t="str">
            <v>Closed</v>
          </cell>
          <cell r="J248" t="str">
            <v>fernandez.r</v>
          </cell>
          <cell r="K248">
            <v>45404</v>
          </cell>
          <cell r="L248">
            <v>45473</v>
          </cell>
          <cell r="M248" t="str">
            <v>G1</v>
          </cell>
          <cell r="N248" t="str">
            <v>DIGITAL MEDIA</v>
          </cell>
          <cell r="O248" t="str">
            <v>A240</v>
          </cell>
          <cell r="P248" t="str">
            <v>SEARCH</v>
          </cell>
          <cell r="Q248" t="str">
            <v>2024</v>
          </cell>
          <cell r="R248" t="str">
            <v>L9YZ7E</v>
          </cell>
          <cell r="S248" t="str">
            <v>COMERCIAL ECCSA S A</v>
          </cell>
          <cell r="T248" t="str">
            <v/>
          </cell>
        </row>
        <row r="249">
          <cell r="C249" t="str">
            <v>T24C850000550</v>
          </cell>
          <cell r="D249" t="str">
            <v>A24C850000813</v>
          </cell>
          <cell r="E249">
            <v>0</v>
          </cell>
          <cell r="F249">
            <v>3000000</v>
          </cell>
          <cell r="G249" t="str">
            <v>Mobile Phone</v>
          </cell>
          <cell r="H249" t="str">
            <v>[1]SAMSUNG WEEK CAMPAIGN RIPLEY - APRIL</v>
          </cell>
          <cell r="I249" t="str">
            <v>Closed</v>
          </cell>
          <cell r="J249" t="str">
            <v>fernandez.r</v>
          </cell>
          <cell r="K249">
            <v>45404</v>
          </cell>
          <cell r="L249">
            <v>45473</v>
          </cell>
          <cell r="M249" t="str">
            <v>G1</v>
          </cell>
          <cell r="N249" t="str">
            <v>DIGITAL MEDIA</v>
          </cell>
          <cell r="O249" t="str">
            <v>A240</v>
          </cell>
          <cell r="P249" t="str">
            <v>SEARCH</v>
          </cell>
          <cell r="Q249" t="str">
            <v>2024</v>
          </cell>
          <cell r="R249" t="str">
            <v>L9YZ7E</v>
          </cell>
          <cell r="S249" t="str">
            <v>COMERCIAL ECCSA S A</v>
          </cell>
          <cell r="T249" t="str">
            <v/>
          </cell>
        </row>
        <row r="250">
          <cell r="C250" t="str">
            <v>T24C850000570</v>
          </cell>
          <cell r="D250" t="str">
            <v>A24C850000789</v>
          </cell>
          <cell r="E250">
            <v>12500000</v>
          </cell>
          <cell r="F250">
            <v>0</v>
          </cell>
          <cell r="G250" t="str">
            <v>Mobile Phone</v>
          </cell>
          <cell r="H250" t="str">
            <v>[1]PP_TAB_Q2_RIPLEY_SEARCH</v>
          </cell>
          <cell r="I250" t="str">
            <v>Closed</v>
          </cell>
          <cell r="J250" t="str">
            <v>j.albornoz</v>
          </cell>
          <cell r="K250">
            <v>45408</v>
          </cell>
          <cell r="L250">
            <v>45473</v>
          </cell>
          <cell r="M250" t="str">
            <v>G1</v>
          </cell>
          <cell r="N250" t="str">
            <v>DIGITAL MEDIA</v>
          </cell>
          <cell r="O250" t="str">
            <v>A240</v>
          </cell>
          <cell r="P250" t="str">
            <v>SEARCH</v>
          </cell>
          <cell r="Q250" t="str">
            <v>2024</v>
          </cell>
          <cell r="R250" t="str">
            <v>L9YZ7E</v>
          </cell>
          <cell r="S250" t="str">
            <v>COMERCIAL ECCSA S A</v>
          </cell>
          <cell r="T250" t="str">
            <v/>
          </cell>
        </row>
        <row r="251">
          <cell r="C251" t="str">
            <v>T24C850000570</v>
          </cell>
          <cell r="D251" t="str">
            <v>A24C850000789</v>
          </cell>
          <cell r="E251">
            <v>0</v>
          </cell>
          <cell r="F251">
            <v>12500000</v>
          </cell>
          <cell r="G251" t="str">
            <v>Mobile Phone</v>
          </cell>
          <cell r="H251" t="str">
            <v>[1]PP_TAB_Q2_RIPLEY_SEARCH</v>
          </cell>
          <cell r="I251" t="str">
            <v>Closed</v>
          </cell>
          <cell r="J251" t="str">
            <v>j.albornoz</v>
          </cell>
          <cell r="K251">
            <v>45408</v>
          </cell>
          <cell r="L251">
            <v>45473</v>
          </cell>
          <cell r="M251" t="str">
            <v>G1</v>
          </cell>
          <cell r="N251" t="str">
            <v>DIGITAL MEDIA</v>
          </cell>
          <cell r="O251" t="str">
            <v>A240</v>
          </cell>
          <cell r="P251" t="str">
            <v>SEARCH</v>
          </cell>
          <cell r="Q251" t="str">
            <v>2024</v>
          </cell>
          <cell r="R251" t="str">
            <v>L9YZ7E</v>
          </cell>
          <cell r="S251" t="str">
            <v>COMERCIAL ECCSA S A</v>
          </cell>
          <cell r="T251" t="str">
            <v/>
          </cell>
        </row>
        <row r="252">
          <cell r="C252" t="str">
            <v>T24C850000572</v>
          </cell>
          <cell r="D252" t="str">
            <v>A24C850000790</v>
          </cell>
          <cell r="E252">
            <v>13252922</v>
          </cell>
          <cell r="F252">
            <v>0</v>
          </cell>
          <cell r="G252" t="str">
            <v>Mobile Phone</v>
          </cell>
          <cell r="H252" t="str">
            <v>[1]PP_TAB_Q2_RIPLEY_DISPLAY</v>
          </cell>
          <cell r="I252" t="str">
            <v>Closed</v>
          </cell>
          <cell r="J252" t="str">
            <v>j.albornoz</v>
          </cell>
          <cell r="K252">
            <v>45408</v>
          </cell>
          <cell r="L252">
            <v>45473</v>
          </cell>
          <cell r="M252" t="str">
            <v>G1</v>
          </cell>
          <cell r="N252" t="str">
            <v>DIGITAL MEDIA</v>
          </cell>
          <cell r="O252" t="str">
            <v>A250</v>
          </cell>
          <cell r="P252" t="str">
            <v>DISPLAY</v>
          </cell>
          <cell r="Q252" t="str">
            <v>2024</v>
          </cell>
          <cell r="R252" t="str">
            <v>L9YZ7E</v>
          </cell>
          <cell r="S252" t="str">
            <v>COMERCIAL ECCSA S A</v>
          </cell>
          <cell r="T252" t="str">
            <v/>
          </cell>
        </row>
        <row r="253">
          <cell r="C253" t="str">
            <v>T24C850000572</v>
          </cell>
          <cell r="D253" t="str">
            <v>A24C850000790</v>
          </cell>
          <cell r="E253">
            <v>0</v>
          </cell>
          <cell r="F253">
            <v>13252922</v>
          </cell>
          <cell r="G253" t="str">
            <v>Mobile Phone</v>
          </cell>
          <cell r="H253" t="str">
            <v>[1]PP_TAB_Q2_RIPLEY_DISPLAY</v>
          </cell>
          <cell r="I253" t="str">
            <v>Closed</v>
          </cell>
          <cell r="J253" t="str">
            <v>j.albornoz</v>
          </cell>
          <cell r="K253">
            <v>45408</v>
          </cell>
          <cell r="L253">
            <v>45473</v>
          </cell>
          <cell r="M253" t="str">
            <v>G1</v>
          </cell>
          <cell r="N253" t="str">
            <v>DIGITAL MEDIA</v>
          </cell>
          <cell r="O253" t="str">
            <v>A250</v>
          </cell>
          <cell r="P253" t="str">
            <v>DISPLAY</v>
          </cell>
          <cell r="Q253" t="str">
            <v>2024</v>
          </cell>
          <cell r="R253" t="str">
            <v>L9YZ7E</v>
          </cell>
          <cell r="S253" t="str">
            <v>COMERCIAL ECCSA S A</v>
          </cell>
          <cell r="T253" t="str">
            <v/>
          </cell>
        </row>
        <row r="254">
          <cell r="C254" t="str">
            <v>T24C850000612</v>
          </cell>
          <cell r="D254" t="str">
            <v>A24C850000882</v>
          </cell>
          <cell r="E254">
            <v>1000000</v>
          </cell>
          <cell r="F254">
            <v>0</v>
          </cell>
          <cell r="G254" t="str">
            <v>Mobile Phone</v>
          </cell>
          <cell r="H254" t="str">
            <v>[3]TAB AON CAMPAIGN RETAILERS JUNE</v>
          </cell>
          <cell r="I254" t="str">
            <v>Completed</v>
          </cell>
          <cell r="J254" t="str">
            <v>fernandez.r</v>
          </cell>
          <cell r="K254">
            <v>45444</v>
          </cell>
          <cell r="L254">
            <v>45535</v>
          </cell>
          <cell r="M254" t="str">
            <v>G1</v>
          </cell>
          <cell r="N254" t="str">
            <v>DIGITAL MEDIA</v>
          </cell>
          <cell r="O254" t="str">
            <v>A250</v>
          </cell>
          <cell r="P254" t="str">
            <v>DISPLAY</v>
          </cell>
          <cell r="Q254" t="str">
            <v>2024</v>
          </cell>
          <cell r="R254" t="str">
            <v>L9YZ7E</v>
          </cell>
          <cell r="S254" t="str">
            <v>COMERCIAL ECCSA S A</v>
          </cell>
          <cell r="T254" t="str">
            <v/>
          </cell>
        </row>
        <row r="255">
          <cell r="C255" t="str">
            <v>T24C850000612</v>
          </cell>
          <cell r="D255" t="str">
            <v>A24C850000882</v>
          </cell>
          <cell r="E255">
            <v>0</v>
          </cell>
          <cell r="F255">
            <v>1000000</v>
          </cell>
          <cell r="G255" t="str">
            <v>Mobile Phone</v>
          </cell>
          <cell r="H255" t="str">
            <v>[3]TAB AON CAMPAIGN RETAILERS JUNE</v>
          </cell>
          <cell r="I255" t="str">
            <v>Completed</v>
          </cell>
          <cell r="J255" t="str">
            <v>fernandez.r</v>
          </cell>
          <cell r="K255">
            <v>45444</v>
          </cell>
          <cell r="L255">
            <v>45535</v>
          </cell>
          <cell r="M255" t="str">
            <v>G1</v>
          </cell>
          <cell r="N255" t="str">
            <v>DIGITAL MEDIA</v>
          </cell>
          <cell r="O255" t="str">
            <v>A250</v>
          </cell>
          <cell r="P255" t="str">
            <v>DISPLAY</v>
          </cell>
          <cell r="Q255" t="str">
            <v>2024</v>
          </cell>
          <cell r="R255" t="str">
            <v>L9YZ7E</v>
          </cell>
          <cell r="S255" t="str">
            <v>COMERCIAL ECCSA S A</v>
          </cell>
          <cell r="T255" t="str">
            <v/>
          </cell>
        </row>
        <row r="256">
          <cell r="C256" t="str">
            <v>T24C850000612</v>
          </cell>
          <cell r="D256" t="str">
            <v>A24C850000882</v>
          </cell>
          <cell r="E256">
            <v>2000000</v>
          </cell>
          <cell r="F256">
            <v>0</v>
          </cell>
          <cell r="G256" t="str">
            <v>Mobile Phone</v>
          </cell>
          <cell r="H256" t="str">
            <v>[3]TAB AON CAMPAIGN RETAILERS JUNE</v>
          </cell>
          <cell r="I256" t="str">
            <v>Completed</v>
          </cell>
          <cell r="J256" t="str">
            <v>fernandez.r</v>
          </cell>
          <cell r="K256">
            <v>45444</v>
          </cell>
          <cell r="L256">
            <v>45535</v>
          </cell>
          <cell r="M256" t="str">
            <v>G1</v>
          </cell>
          <cell r="N256" t="str">
            <v>DIGITAL MEDIA</v>
          </cell>
          <cell r="O256" t="str">
            <v>A240</v>
          </cell>
          <cell r="P256" t="str">
            <v>SEARCH</v>
          </cell>
          <cell r="Q256" t="str">
            <v>2024</v>
          </cell>
          <cell r="R256" t="str">
            <v>L9YZ7E</v>
          </cell>
          <cell r="S256" t="str">
            <v>COMERCIAL ECCSA S A</v>
          </cell>
          <cell r="T256" t="str">
            <v/>
          </cell>
        </row>
        <row r="257">
          <cell r="C257" t="str">
            <v>T24C850000612</v>
          </cell>
          <cell r="D257" t="str">
            <v>A24C850000882</v>
          </cell>
          <cell r="E257">
            <v>0</v>
          </cell>
          <cell r="F257">
            <v>2000000</v>
          </cell>
          <cell r="G257" t="str">
            <v>Mobile Phone</v>
          </cell>
          <cell r="H257" t="str">
            <v>[3]TAB AON CAMPAIGN RETAILERS JUNE</v>
          </cell>
          <cell r="I257" t="str">
            <v>Completed</v>
          </cell>
          <cell r="J257" t="str">
            <v>fernandez.r</v>
          </cell>
          <cell r="K257">
            <v>45444</v>
          </cell>
          <cell r="L257">
            <v>45535</v>
          </cell>
          <cell r="M257" t="str">
            <v>G1</v>
          </cell>
          <cell r="N257" t="str">
            <v>DIGITAL MEDIA</v>
          </cell>
          <cell r="O257" t="str">
            <v>A240</v>
          </cell>
          <cell r="P257" t="str">
            <v>SEARCH</v>
          </cell>
          <cell r="Q257" t="str">
            <v>2024</v>
          </cell>
          <cell r="R257" t="str">
            <v>L9YZ7E</v>
          </cell>
          <cell r="S257" t="str">
            <v>COMERCIAL ECCSA S A</v>
          </cell>
          <cell r="T257" t="str">
            <v/>
          </cell>
        </row>
        <row r="258">
          <cell r="C258" t="str">
            <v>T24C850000616</v>
          </cell>
          <cell r="D258" t="str">
            <v>A24C850000874</v>
          </cell>
          <cell r="E258">
            <v>3000000</v>
          </cell>
          <cell r="F258">
            <v>0</v>
          </cell>
          <cell r="G258" t="str">
            <v>Mobile Phone</v>
          </cell>
          <cell r="H258" t="str">
            <v>[1]HHP AON CAMPAIGN RETAILERS JUNE - RIPLEY</v>
          </cell>
          <cell r="I258" t="str">
            <v>Completed</v>
          </cell>
          <cell r="J258" t="str">
            <v>fernandez.r</v>
          </cell>
          <cell r="K258">
            <v>45444</v>
          </cell>
          <cell r="L258">
            <v>45535</v>
          </cell>
          <cell r="M258" t="str">
            <v>G1</v>
          </cell>
          <cell r="N258" t="str">
            <v>DIGITAL MEDIA</v>
          </cell>
          <cell r="O258" t="str">
            <v>A250</v>
          </cell>
          <cell r="P258" t="str">
            <v>DISPLAY</v>
          </cell>
          <cell r="Q258" t="str">
            <v>2024</v>
          </cell>
          <cell r="R258" t="str">
            <v>L9YZ7E</v>
          </cell>
          <cell r="S258" t="str">
            <v>COMERCIAL ECCSA S A</v>
          </cell>
          <cell r="T258" t="str">
            <v/>
          </cell>
        </row>
        <row r="259">
          <cell r="C259" t="str">
            <v>T24C850000616</v>
          </cell>
          <cell r="D259" t="str">
            <v>A24C850000874</v>
          </cell>
          <cell r="E259">
            <v>0</v>
          </cell>
          <cell r="F259">
            <v>3000000</v>
          </cell>
          <cell r="G259" t="str">
            <v>Mobile Phone</v>
          </cell>
          <cell r="H259" t="str">
            <v>[1]HHP AON CAMPAIGN RETAILERS JUNE - RIPLEY</v>
          </cell>
          <cell r="I259" t="str">
            <v>Completed</v>
          </cell>
          <cell r="J259" t="str">
            <v>fernandez.r</v>
          </cell>
          <cell r="K259">
            <v>45444</v>
          </cell>
          <cell r="L259">
            <v>45535</v>
          </cell>
          <cell r="M259" t="str">
            <v>G1</v>
          </cell>
          <cell r="N259" t="str">
            <v>DIGITAL MEDIA</v>
          </cell>
          <cell r="O259" t="str">
            <v>A250</v>
          </cell>
          <cell r="P259" t="str">
            <v>DISPLAY</v>
          </cell>
          <cell r="Q259" t="str">
            <v>2024</v>
          </cell>
          <cell r="R259" t="str">
            <v>L9YZ7E</v>
          </cell>
          <cell r="S259" t="str">
            <v>COMERCIAL ECCSA S A</v>
          </cell>
          <cell r="T259" t="str">
            <v/>
          </cell>
        </row>
        <row r="260">
          <cell r="C260" t="str">
            <v>T24C850000616</v>
          </cell>
          <cell r="D260" t="str">
            <v>A24C850000874</v>
          </cell>
          <cell r="E260">
            <v>5000000</v>
          </cell>
          <cell r="F260">
            <v>0</v>
          </cell>
          <cell r="G260" t="str">
            <v>Mobile Phone</v>
          </cell>
          <cell r="H260" t="str">
            <v>[1]HHP AON CAMPAIGN RETAILERS JUNE - RIPLEY</v>
          </cell>
          <cell r="I260" t="str">
            <v>Completed</v>
          </cell>
          <cell r="J260" t="str">
            <v>fernandez.r</v>
          </cell>
          <cell r="K260">
            <v>45444</v>
          </cell>
          <cell r="L260">
            <v>45535</v>
          </cell>
          <cell r="M260" t="str">
            <v>G1</v>
          </cell>
          <cell r="N260" t="str">
            <v>DIGITAL MEDIA</v>
          </cell>
          <cell r="O260" t="str">
            <v>A240</v>
          </cell>
          <cell r="P260" t="str">
            <v>SEARCH</v>
          </cell>
          <cell r="Q260" t="str">
            <v>2024</v>
          </cell>
          <cell r="R260" t="str">
            <v>L9YZ7E</v>
          </cell>
          <cell r="S260" t="str">
            <v>COMERCIAL ECCSA S A</v>
          </cell>
          <cell r="T260" t="str">
            <v/>
          </cell>
        </row>
        <row r="261">
          <cell r="C261" t="str">
            <v>T24C850000616</v>
          </cell>
          <cell r="D261" t="str">
            <v>A24C850000874</v>
          </cell>
          <cell r="E261">
            <v>0</v>
          </cell>
          <cell r="F261">
            <v>5000000</v>
          </cell>
          <cell r="G261" t="str">
            <v>Mobile Phone</v>
          </cell>
          <cell r="H261" t="str">
            <v>[1]HHP AON CAMPAIGN RETAILERS JUNE - RIPLEY</v>
          </cell>
          <cell r="I261" t="str">
            <v>Completed</v>
          </cell>
          <cell r="J261" t="str">
            <v>fernandez.r</v>
          </cell>
          <cell r="K261">
            <v>45444</v>
          </cell>
          <cell r="L261">
            <v>45535</v>
          </cell>
          <cell r="M261" t="str">
            <v>G1</v>
          </cell>
          <cell r="N261" t="str">
            <v>DIGITAL MEDIA</v>
          </cell>
          <cell r="O261" t="str">
            <v>A240</v>
          </cell>
          <cell r="P261" t="str">
            <v>SEARCH</v>
          </cell>
          <cell r="Q261" t="str">
            <v>2024</v>
          </cell>
          <cell r="R261" t="str">
            <v>L9YZ7E</v>
          </cell>
          <cell r="S261" t="str">
            <v>COMERCIAL ECCSA S A</v>
          </cell>
          <cell r="T261" t="str">
            <v/>
          </cell>
        </row>
        <row r="262">
          <cell r="C262" t="str">
            <v>T24C850000630</v>
          </cell>
          <cell r="D262" t="str">
            <v>A24C850000877</v>
          </cell>
          <cell r="E262">
            <v>3000000</v>
          </cell>
          <cell r="F262">
            <v>0</v>
          </cell>
          <cell r="G262" t="str">
            <v>Computer</v>
          </cell>
          <cell r="H262" t="str">
            <v>[3]NPC AON CAMPAIGN RETAILERS MAY</v>
          </cell>
          <cell r="I262" t="str">
            <v>Completed</v>
          </cell>
          <cell r="J262" t="str">
            <v>fernandez.r</v>
          </cell>
          <cell r="K262">
            <v>45427</v>
          </cell>
          <cell r="L262">
            <v>45535</v>
          </cell>
          <cell r="M262" t="str">
            <v>C3</v>
          </cell>
          <cell r="N262" t="str">
            <v>DIGITAL MEDIA</v>
          </cell>
          <cell r="O262" t="str">
            <v>A250</v>
          </cell>
          <cell r="P262" t="str">
            <v>DISPLAY</v>
          </cell>
          <cell r="Q262" t="str">
            <v>2024</v>
          </cell>
          <cell r="R262" t="str">
            <v>L9YZ7E</v>
          </cell>
          <cell r="S262" t="str">
            <v>COMERCIAL ECCSA S A</v>
          </cell>
          <cell r="T262" t="str">
            <v/>
          </cell>
        </row>
        <row r="263">
          <cell r="C263" t="str">
            <v>T24C850000630</v>
          </cell>
          <cell r="D263" t="str">
            <v>A24C850000877</v>
          </cell>
          <cell r="E263">
            <v>0</v>
          </cell>
          <cell r="F263">
            <v>3000000</v>
          </cell>
          <cell r="G263" t="str">
            <v>Computer</v>
          </cell>
          <cell r="H263" t="str">
            <v>[3]NPC AON CAMPAIGN RETAILERS MAY</v>
          </cell>
          <cell r="I263" t="str">
            <v>Completed</v>
          </cell>
          <cell r="J263" t="str">
            <v>fernandez.r</v>
          </cell>
          <cell r="K263">
            <v>45427</v>
          </cell>
          <cell r="L263">
            <v>45535</v>
          </cell>
          <cell r="M263" t="str">
            <v>C3</v>
          </cell>
          <cell r="N263" t="str">
            <v>DIGITAL MEDIA</v>
          </cell>
          <cell r="O263" t="str">
            <v>A250</v>
          </cell>
          <cell r="P263" t="str">
            <v>DISPLAY</v>
          </cell>
          <cell r="Q263" t="str">
            <v>2024</v>
          </cell>
          <cell r="R263" t="str">
            <v>L9YZ7E</v>
          </cell>
          <cell r="S263" t="str">
            <v>COMERCIAL ECCSA S A</v>
          </cell>
          <cell r="T263" t="str">
            <v/>
          </cell>
        </row>
        <row r="264">
          <cell r="C264" t="str">
            <v>T24C850000630</v>
          </cell>
          <cell r="D264" t="str">
            <v>A24C850000877</v>
          </cell>
          <cell r="E264">
            <v>4000000</v>
          </cell>
          <cell r="F264">
            <v>0</v>
          </cell>
          <cell r="G264" t="str">
            <v>Computer</v>
          </cell>
          <cell r="H264" t="str">
            <v>[3]NPC AON CAMPAIGN RETAILERS MAY</v>
          </cell>
          <cell r="I264" t="str">
            <v>Completed</v>
          </cell>
          <cell r="J264" t="str">
            <v>fernandez.r</v>
          </cell>
          <cell r="K264">
            <v>45427</v>
          </cell>
          <cell r="L264">
            <v>45535</v>
          </cell>
          <cell r="M264" t="str">
            <v>C3</v>
          </cell>
          <cell r="N264" t="str">
            <v>DIGITAL MEDIA</v>
          </cell>
          <cell r="O264" t="str">
            <v>A240</v>
          </cell>
          <cell r="P264" t="str">
            <v>SEARCH</v>
          </cell>
          <cell r="Q264" t="str">
            <v>2024</v>
          </cell>
          <cell r="R264" t="str">
            <v>L9YZ7E</v>
          </cell>
          <cell r="S264" t="str">
            <v>COMERCIAL ECCSA S A</v>
          </cell>
          <cell r="T264" t="str">
            <v/>
          </cell>
        </row>
        <row r="265">
          <cell r="C265" t="str">
            <v>T24C850000630</v>
          </cell>
          <cell r="D265" t="str">
            <v>A24C850000877</v>
          </cell>
          <cell r="E265">
            <v>0</v>
          </cell>
          <cell r="F265">
            <v>4000000</v>
          </cell>
          <cell r="G265" t="str">
            <v>Computer</v>
          </cell>
          <cell r="H265" t="str">
            <v>[3]NPC AON CAMPAIGN RETAILERS MAY</v>
          </cell>
          <cell r="I265" t="str">
            <v>Completed</v>
          </cell>
          <cell r="J265" t="str">
            <v>fernandez.r</v>
          </cell>
          <cell r="K265">
            <v>45427</v>
          </cell>
          <cell r="L265">
            <v>45535</v>
          </cell>
          <cell r="M265" t="str">
            <v>C3</v>
          </cell>
          <cell r="N265" t="str">
            <v>DIGITAL MEDIA</v>
          </cell>
          <cell r="O265" t="str">
            <v>A240</v>
          </cell>
          <cell r="P265" t="str">
            <v>SEARCH</v>
          </cell>
          <cell r="Q265" t="str">
            <v>2024</v>
          </cell>
          <cell r="R265" t="str">
            <v>L9YZ7E</v>
          </cell>
          <cell r="S265" t="str">
            <v>COMERCIAL ECCSA S A</v>
          </cell>
          <cell r="T265" t="str">
            <v/>
          </cell>
        </row>
        <row r="266">
          <cell r="C266" t="str">
            <v>T24C850000647</v>
          </cell>
          <cell r="D266" t="str">
            <v>A24C850000881</v>
          </cell>
          <cell r="E266">
            <v>2000000</v>
          </cell>
          <cell r="F266">
            <v>0</v>
          </cell>
          <cell r="G266" t="str">
            <v>Mobile Phone</v>
          </cell>
          <cell r="H266" t="str">
            <v>[3]WEAR - RETAIL AON CAMPAIGN  MAY</v>
          </cell>
          <cell r="I266" t="str">
            <v>Completed</v>
          </cell>
          <cell r="J266" t="str">
            <v>fernandez.r</v>
          </cell>
          <cell r="K266">
            <v>45437</v>
          </cell>
          <cell r="L266">
            <v>45535</v>
          </cell>
          <cell r="M266" t="str">
            <v>G1</v>
          </cell>
          <cell r="N266" t="str">
            <v>DIGITAL MEDIA</v>
          </cell>
          <cell r="O266" t="str">
            <v>A240</v>
          </cell>
          <cell r="P266" t="str">
            <v>SEARCH</v>
          </cell>
          <cell r="Q266" t="str">
            <v>2024</v>
          </cell>
          <cell r="R266" t="str">
            <v>L9YZ7E</v>
          </cell>
          <cell r="S266" t="str">
            <v>COMERCIAL ECCSA S A</v>
          </cell>
          <cell r="T266" t="str">
            <v/>
          </cell>
        </row>
        <row r="267">
          <cell r="C267" t="str">
            <v>T24C850000677</v>
          </cell>
          <cell r="D267" t="str">
            <v>A24C850000931</v>
          </cell>
          <cell r="E267">
            <v>1000000</v>
          </cell>
          <cell r="F267">
            <v>0</v>
          </cell>
          <cell r="G267" t="str">
            <v>Mobile Phone</v>
          </cell>
          <cell r="H267" t="str">
            <v>[4]PP TAB_MAY_AON</v>
          </cell>
          <cell r="I267" t="str">
            <v>Completed</v>
          </cell>
          <cell r="J267" t="str">
            <v>j.albornoz</v>
          </cell>
          <cell r="K267">
            <v>45442</v>
          </cell>
          <cell r="L267">
            <v>45473</v>
          </cell>
          <cell r="M267" t="str">
            <v>G1</v>
          </cell>
          <cell r="N267" t="str">
            <v>DIGITAL MEDIA</v>
          </cell>
          <cell r="O267" t="str">
            <v>A250</v>
          </cell>
          <cell r="P267" t="str">
            <v>DISPLAY</v>
          </cell>
          <cell r="Q267" t="str">
            <v>2024</v>
          </cell>
          <cell r="R267" t="str">
            <v>L9YZ7E</v>
          </cell>
          <cell r="S267" t="str">
            <v>COMERCIAL ECCSA S A</v>
          </cell>
          <cell r="T267" t="str">
            <v/>
          </cell>
        </row>
        <row r="268">
          <cell r="C268" t="str">
            <v>T24C850000677</v>
          </cell>
          <cell r="D268" t="str">
            <v>A24C850000931</v>
          </cell>
          <cell r="E268">
            <v>0</v>
          </cell>
          <cell r="F268">
            <v>1000000</v>
          </cell>
          <cell r="G268" t="str">
            <v>Mobile Phone</v>
          </cell>
          <cell r="H268" t="str">
            <v>[4]PP TAB_MAY_AON</v>
          </cell>
          <cell r="I268" t="str">
            <v>Completed</v>
          </cell>
          <cell r="J268" t="str">
            <v>j.albornoz</v>
          </cell>
          <cell r="K268">
            <v>45442</v>
          </cell>
          <cell r="L268">
            <v>45473</v>
          </cell>
          <cell r="M268" t="str">
            <v>G1</v>
          </cell>
          <cell r="N268" t="str">
            <v>DIGITAL MEDIA</v>
          </cell>
          <cell r="O268" t="str">
            <v>A250</v>
          </cell>
          <cell r="P268" t="str">
            <v>DISPLAY</v>
          </cell>
          <cell r="Q268" t="str">
            <v>2024</v>
          </cell>
          <cell r="R268" t="str">
            <v>L9YZ7E</v>
          </cell>
          <cell r="S268" t="str">
            <v>COMERCIAL ECCSA S A</v>
          </cell>
          <cell r="T268" t="str">
            <v/>
          </cell>
        </row>
        <row r="269">
          <cell r="C269" t="str">
            <v>T24C850000677</v>
          </cell>
          <cell r="D269" t="str">
            <v>A24C850000931</v>
          </cell>
          <cell r="E269">
            <v>2000000</v>
          </cell>
          <cell r="F269">
            <v>0</v>
          </cell>
          <cell r="G269" t="str">
            <v>Mobile Phone</v>
          </cell>
          <cell r="H269" t="str">
            <v>[4]PP TAB_MAY_AON</v>
          </cell>
          <cell r="I269" t="str">
            <v>Completed</v>
          </cell>
          <cell r="J269" t="str">
            <v>j.albornoz</v>
          </cell>
          <cell r="K269">
            <v>45442</v>
          </cell>
          <cell r="L269">
            <v>45473</v>
          </cell>
          <cell r="M269" t="str">
            <v>G1</v>
          </cell>
          <cell r="N269" t="str">
            <v>DIGITAL MEDIA</v>
          </cell>
          <cell r="O269" t="str">
            <v>A240</v>
          </cell>
          <cell r="P269" t="str">
            <v>SEARCH</v>
          </cell>
          <cell r="Q269" t="str">
            <v>2024</v>
          </cell>
          <cell r="R269" t="str">
            <v>L9YZ7E</v>
          </cell>
          <cell r="S269" t="str">
            <v>COMERCIAL ECCSA S A</v>
          </cell>
          <cell r="T269" t="str">
            <v/>
          </cell>
        </row>
        <row r="270">
          <cell r="C270" t="str">
            <v>T24C850000677</v>
          </cell>
          <cell r="D270" t="str">
            <v>A24C850000931</v>
          </cell>
          <cell r="E270">
            <v>0</v>
          </cell>
          <cell r="F270">
            <v>2000000</v>
          </cell>
          <cell r="G270" t="str">
            <v>Mobile Phone</v>
          </cell>
          <cell r="H270" t="str">
            <v>[4]PP TAB_MAY_AON</v>
          </cell>
          <cell r="I270" t="str">
            <v>Completed</v>
          </cell>
          <cell r="J270" t="str">
            <v>j.albornoz</v>
          </cell>
          <cell r="K270">
            <v>45442</v>
          </cell>
          <cell r="L270">
            <v>45473</v>
          </cell>
          <cell r="M270" t="str">
            <v>G1</v>
          </cell>
          <cell r="N270" t="str">
            <v>DIGITAL MEDIA</v>
          </cell>
          <cell r="O270" t="str">
            <v>A240</v>
          </cell>
          <cell r="P270" t="str">
            <v>SEARCH</v>
          </cell>
          <cell r="Q270" t="str">
            <v>2024</v>
          </cell>
          <cell r="R270" t="str">
            <v>L9YZ7E</v>
          </cell>
          <cell r="S270" t="str">
            <v>COMERCIAL ECCSA S A</v>
          </cell>
          <cell r="T270" t="str">
            <v/>
          </cell>
        </row>
        <row r="271">
          <cell r="C271" t="str">
            <v>T24C850000803</v>
          </cell>
          <cell r="D271" t="str">
            <v>A24C850001114</v>
          </cell>
          <cell r="E271">
            <v>3000000</v>
          </cell>
          <cell r="F271">
            <v>0</v>
          </cell>
          <cell r="G271" t="str">
            <v>Mobile Phone</v>
          </cell>
          <cell r="H271" t="str">
            <v>[3]HHP S24 SUSTAIN CAMPAIGN RETAIL A 2024</v>
          </cell>
          <cell r="I271" t="str">
            <v>Completed</v>
          </cell>
          <cell r="J271" t="str">
            <v>fernandez.r</v>
          </cell>
          <cell r="K271">
            <v>45473</v>
          </cell>
          <cell r="L271">
            <v>45565</v>
          </cell>
          <cell r="M271" t="str">
            <v>G1</v>
          </cell>
          <cell r="N271" t="str">
            <v>DIGITAL MEDIA</v>
          </cell>
          <cell r="O271" t="str">
            <v>A240</v>
          </cell>
          <cell r="P271" t="str">
            <v>SEARCH</v>
          </cell>
          <cell r="Q271" t="str">
            <v>2024</v>
          </cell>
          <cell r="R271" t="str">
            <v>L9YZ7E</v>
          </cell>
          <cell r="S271" t="str">
            <v>COMERCIAL ECCSA S A</v>
          </cell>
          <cell r="T271" t="str">
            <v/>
          </cell>
        </row>
        <row r="272">
          <cell r="C272" t="str">
            <v>T24C850000803</v>
          </cell>
          <cell r="D272" t="str">
            <v>A24C850001114</v>
          </cell>
          <cell r="E272">
            <v>0</v>
          </cell>
          <cell r="F272">
            <v>3000000</v>
          </cell>
          <cell r="G272" t="str">
            <v>Mobile Phone</v>
          </cell>
          <cell r="H272" t="str">
            <v>[3]HHP S24 SUSTAIN CAMPAIGN RETAIL A 2024</v>
          </cell>
          <cell r="I272" t="str">
            <v>Completed</v>
          </cell>
          <cell r="J272" t="str">
            <v>fernandez.r</v>
          </cell>
          <cell r="K272">
            <v>45473</v>
          </cell>
          <cell r="L272">
            <v>45565</v>
          </cell>
          <cell r="M272" t="str">
            <v>G1</v>
          </cell>
          <cell r="N272" t="str">
            <v>DIGITAL MEDIA</v>
          </cell>
          <cell r="O272" t="str">
            <v>A240</v>
          </cell>
          <cell r="P272" t="str">
            <v>SEARCH</v>
          </cell>
          <cell r="Q272" t="str">
            <v>2024</v>
          </cell>
          <cell r="R272" t="str">
            <v>L9YZ7E</v>
          </cell>
          <cell r="S272" t="str">
            <v>COMERCIAL ECCSA S A</v>
          </cell>
          <cell r="T272" t="str">
            <v/>
          </cell>
        </row>
        <row r="273">
          <cell r="C273" t="str">
            <v>T24C850000803</v>
          </cell>
          <cell r="D273" t="str">
            <v>A24C850001114</v>
          </cell>
          <cell r="E273">
            <v>2500000</v>
          </cell>
          <cell r="F273">
            <v>0</v>
          </cell>
          <cell r="G273" t="str">
            <v>Mobile Phone</v>
          </cell>
          <cell r="H273" t="str">
            <v>[3]HHP S24 SUSTAIN CAMPAIGN RETAIL A 2024</v>
          </cell>
          <cell r="I273" t="str">
            <v>Completed</v>
          </cell>
          <cell r="J273" t="str">
            <v>fernandez.r</v>
          </cell>
          <cell r="K273">
            <v>45473</v>
          </cell>
          <cell r="L273">
            <v>45565</v>
          </cell>
          <cell r="M273" t="str">
            <v>G1</v>
          </cell>
          <cell r="N273" t="str">
            <v>DIGITAL MEDIA</v>
          </cell>
          <cell r="O273" t="str">
            <v>A230</v>
          </cell>
          <cell r="P273" t="str">
            <v>SOCIAL ADS</v>
          </cell>
          <cell r="Q273" t="str">
            <v>2024</v>
          </cell>
          <cell r="R273" t="str">
            <v>L9YZ7E</v>
          </cell>
          <cell r="S273" t="str">
            <v>COMERCIAL ECCSA S A</v>
          </cell>
          <cell r="T273" t="str">
            <v/>
          </cell>
        </row>
        <row r="274">
          <cell r="C274" t="str">
            <v>T24C850000803</v>
          </cell>
          <cell r="D274" t="str">
            <v>A24C850001114</v>
          </cell>
          <cell r="E274">
            <v>0</v>
          </cell>
          <cell r="F274">
            <v>2500000</v>
          </cell>
          <cell r="G274" t="str">
            <v>Mobile Phone</v>
          </cell>
          <cell r="H274" t="str">
            <v>[3]HHP S24 SUSTAIN CAMPAIGN RETAIL A 2024</v>
          </cell>
          <cell r="I274" t="str">
            <v>Completed</v>
          </cell>
          <cell r="J274" t="str">
            <v>fernandez.r</v>
          </cell>
          <cell r="K274">
            <v>45473</v>
          </cell>
          <cell r="L274">
            <v>45565</v>
          </cell>
          <cell r="M274" t="str">
            <v>G1</v>
          </cell>
          <cell r="N274" t="str">
            <v>DIGITAL MEDIA</v>
          </cell>
          <cell r="O274" t="str">
            <v>A230</v>
          </cell>
          <cell r="P274" t="str">
            <v>SOCIAL ADS</v>
          </cell>
          <cell r="Q274" t="str">
            <v>2024</v>
          </cell>
          <cell r="R274" t="str">
            <v>L9YZ7E</v>
          </cell>
          <cell r="S274" t="str">
            <v>COMERCIAL ECCSA S A</v>
          </cell>
          <cell r="T274" t="str">
            <v/>
          </cell>
        </row>
        <row r="275">
          <cell r="C275" t="str">
            <v>T24C850000808</v>
          </cell>
          <cell r="D275" t="str">
            <v>A24C850001111</v>
          </cell>
          <cell r="E275">
            <v>4000000</v>
          </cell>
          <cell r="F275">
            <v>0</v>
          </cell>
          <cell r="G275" t="str">
            <v>Mobile Phone</v>
          </cell>
          <cell r="H275" t="str">
            <v>[3]HHP AON BOOST CAMPAIGN RETAIL A JUNE</v>
          </cell>
          <cell r="I275" t="str">
            <v>Completed</v>
          </cell>
          <cell r="J275" t="str">
            <v>fernandez.r</v>
          </cell>
          <cell r="K275">
            <v>45473</v>
          </cell>
          <cell r="L275">
            <v>45565</v>
          </cell>
          <cell r="M275" t="str">
            <v>G1</v>
          </cell>
          <cell r="N275" t="str">
            <v>DIGITAL MEDIA</v>
          </cell>
          <cell r="O275" t="str">
            <v>A240</v>
          </cell>
          <cell r="P275" t="str">
            <v>SEARCH</v>
          </cell>
          <cell r="Q275" t="str">
            <v>2024</v>
          </cell>
          <cell r="R275" t="str">
            <v>L9YZ7E</v>
          </cell>
          <cell r="S275" t="str">
            <v>COMERCIAL ECCSA S A</v>
          </cell>
          <cell r="T275" t="str">
            <v/>
          </cell>
        </row>
        <row r="276">
          <cell r="C276" t="str">
            <v>T24C850000808</v>
          </cell>
          <cell r="D276" t="str">
            <v>A24C850001111</v>
          </cell>
          <cell r="E276">
            <v>0</v>
          </cell>
          <cell r="F276">
            <v>1378430</v>
          </cell>
          <cell r="G276" t="str">
            <v>Mobile Phone</v>
          </cell>
          <cell r="H276" t="str">
            <v>[3]HHP AON BOOST CAMPAIGN RETAIL A JUNE</v>
          </cell>
          <cell r="I276" t="str">
            <v>Completed</v>
          </cell>
          <cell r="J276" t="str">
            <v>fernandez.r</v>
          </cell>
          <cell r="K276">
            <v>45473</v>
          </cell>
          <cell r="L276">
            <v>45565</v>
          </cell>
          <cell r="M276" t="str">
            <v>G1</v>
          </cell>
          <cell r="N276" t="str">
            <v>DIGITAL MEDIA</v>
          </cell>
          <cell r="O276" t="str">
            <v>A240</v>
          </cell>
          <cell r="P276" t="str">
            <v>SEARCH</v>
          </cell>
          <cell r="Q276" t="str">
            <v>2024</v>
          </cell>
          <cell r="R276" t="str">
            <v>L9YZ7E</v>
          </cell>
          <cell r="S276" t="str">
            <v>COMERCIAL ECCSA S A</v>
          </cell>
          <cell r="T276" t="str">
            <v/>
          </cell>
        </row>
        <row r="277">
          <cell r="C277" t="str">
            <v>T24C850000808</v>
          </cell>
          <cell r="D277" t="str">
            <v>A24C850001111</v>
          </cell>
          <cell r="E277">
            <v>4000000</v>
          </cell>
          <cell r="F277">
            <v>0</v>
          </cell>
          <cell r="G277" t="str">
            <v>Mobile Phone</v>
          </cell>
          <cell r="H277" t="str">
            <v>[3]HHP AON BOOST CAMPAIGN RETAIL A JUNE</v>
          </cell>
          <cell r="I277" t="str">
            <v>Completed</v>
          </cell>
          <cell r="J277" t="str">
            <v>fernandez.r</v>
          </cell>
          <cell r="K277">
            <v>45473</v>
          </cell>
          <cell r="L277">
            <v>45565</v>
          </cell>
          <cell r="M277" t="str">
            <v>G1</v>
          </cell>
          <cell r="N277" t="str">
            <v>DIGITAL MEDIA</v>
          </cell>
          <cell r="O277" t="str">
            <v>A230</v>
          </cell>
          <cell r="P277" t="str">
            <v>SOCIAL ADS</v>
          </cell>
          <cell r="Q277" t="str">
            <v>2024</v>
          </cell>
          <cell r="R277" t="str">
            <v>L9YZ7E</v>
          </cell>
          <cell r="S277" t="str">
            <v>COMERCIAL ECCSA S A</v>
          </cell>
          <cell r="T277" t="str">
            <v/>
          </cell>
        </row>
        <row r="278">
          <cell r="C278" t="str">
            <v>T24C850000873</v>
          </cell>
          <cell r="D278" t="str">
            <v>A24C850001174</v>
          </cell>
          <cell r="E278">
            <v>3000000</v>
          </cell>
          <cell r="F278">
            <v>0</v>
          </cell>
          <cell r="G278" t="str">
            <v>Mobile Phone</v>
          </cell>
          <cell r="H278" t="str">
            <v>[1]WATCH7 LAUNCH CAMPAIGN - JULY - RIPLEY</v>
          </cell>
          <cell r="I278" t="str">
            <v>Completed</v>
          </cell>
          <cell r="J278" t="str">
            <v>fernandez.r</v>
          </cell>
          <cell r="K278">
            <v>45485</v>
          </cell>
          <cell r="L278">
            <v>45565</v>
          </cell>
          <cell r="M278" t="str">
            <v>G1</v>
          </cell>
          <cell r="N278" t="str">
            <v>DIGITAL MEDIA</v>
          </cell>
          <cell r="O278" t="str">
            <v>A240</v>
          </cell>
          <cell r="P278" t="str">
            <v>SEARCH</v>
          </cell>
          <cell r="Q278" t="str">
            <v>2024</v>
          </cell>
          <cell r="R278" t="str">
            <v>L9YZ7E</v>
          </cell>
          <cell r="S278" t="str">
            <v>COMERCIAL ECCSA S A</v>
          </cell>
          <cell r="T278" t="str">
            <v/>
          </cell>
        </row>
        <row r="279">
          <cell r="C279" t="str">
            <v>T24C850000873</v>
          </cell>
          <cell r="D279" t="str">
            <v>A24C850001174</v>
          </cell>
          <cell r="E279">
            <v>2000000</v>
          </cell>
          <cell r="F279">
            <v>0</v>
          </cell>
          <cell r="G279" t="str">
            <v>Mobile Phone</v>
          </cell>
          <cell r="H279" t="str">
            <v>[1]WATCH7 LAUNCH CAMPAIGN - JULY - RIPLEY</v>
          </cell>
          <cell r="I279" t="str">
            <v>Completed</v>
          </cell>
          <cell r="J279" t="str">
            <v>fernandez.r</v>
          </cell>
          <cell r="K279">
            <v>45485</v>
          </cell>
          <cell r="L279">
            <v>45565</v>
          </cell>
          <cell r="M279" t="str">
            <v>G1</v>
          </cell>
          <cell r="N279" t="str">
            <v>DIGITAL MEDIA</v>
          </cell>
          <cell r="O279" t="str">
            <v>A250</v>
          </cell>
          <cell r="P279" t="str">
            <v>DISPLAY</v>
          </cell>
          <cell r="Q279" t="str">
            <v>2024</v>
          </cell>
          <cell r="R279" t="str">
            <v>L9YZ7E</v>
          </cell>
          <cell r="S279" t="str">
            <v>COMERCIAL ECCSA S A</v>
          </cell>
          <cell r="T279" t="str">
            <v/>
          </cell>
        </row>
        <row r="280">
          <cell r="C280" t="str">
            <v>T24C850000878</v>
          </cell>
          <cell r="D280" t="str">
            <v>A24C850001165</v>
          </cell>
          <cell r="E280">
            <v>2000000</v>
          </cell>
          <cell r="F280">
            <v>0</v>
          </cell>
          <cell r="G280" t="str">
            <v>Mobile Phone</v>
          </cell>
          <cell r="H280" t="str">
            <v>[1]TAB - AON CAMPAIGN - JULY - RIPLEY</v>
          </cell>
          <cell r="I280" t="str">
            <v>Completed</v>
          </cell>
          <cell r="J280" t="str">
            <v>fernandez.r</v>
          </cell>
          <cell r="K280">
            <v>45485</v>
          </cell>
          <cell r="L280">
            <v>45565</v>
          </cell>
          <cell r="M280" t="str">
            <v>G1</v>
          </cell>
          <cell r="N280" t="str">
            <v>DIGITAL MEDIA</v>
          </cell>
          <cell r="O280" t="str">
            <v>A250</v>
          </cell>
          <cell r="P280" t="str">
            <v>DISPLAY</v>
          </cell>
          <cell r="Q280" t="str">
            <v>2024</v>
          </cell>
          <cell r="R280" t="str">
            <v>L9YZ7E</v>
          </cell>
          <cell r="S280" t="str">
            <v>COMERCIAL ECCSA S A</v>
          </cell>
          <cell r="T280" t="str">
            <v/>
          </cell>
        </row>
        <row r="281">
          <cell r="C281" t="str">
            <v>T24C850000878</v>
          </cell>
          <cell r="D281" t="str">
            <v>A24C850001165</v>
          </cell>
          <cell r="E281">
            <v>0</v>
          </cell>
          <cell r="F281">
            <v>2000000</v>
          </cell>
          <cell r="G281" t="str">
            <v>Mobile Phone</v>
          </cell>
          <cell r="H281" t="str">
            <v>[1]TAB - AON CAMPAIGN - JULY - RIPLEY</v>
          </cell>
          <cell r="I281" t="str">
            <v>Completed</v>
          </cell>
          <cell r="J281" t="str">
            <v>fernandez.r</v>
          </cell>
          <cell r="K281">
            <v>45485</v>
          </cell>
          <cell r="L281">
            <v>45565</v>
          </cell>
          <cell r="M281" t="str">
            <v>G1</v>
          </cell>
          <cell r="N281" t="str">
            <v>DIGITAL MEDIA</v>
          </cell>
          <cell r="O281" t="str">
            <v>A250</v>
          </cell>
          <cell r="P281" t="str">
            <v>DISPLAY</v>
          </cell>
          <cell r="Q281" t="str">
            <v>2024</v>
          </cell>
          <cell r="R281" t="str">
            <v>L9YZ7E</v>
          </cell>
          <cell r="S281" t="str">
            <v>COMERCIAL ECCSA S A</v>
          </cell>
          <cell r="T281" t="str">
            <v/>
          </cell>
        </row>
        <row r="282">
          <cell r="C282" t="str">
            <v>T24C850000878</v>
          </cell>
          <cell r="D282" t="str">
            <v>A24C850001165</v>
          </cell>
          <cell r="E282">
            <v>3000000</v>
          </cell>
          <cell r="F282">
            <v>0</v>
          </cell>
          <cell r="G282" t="str">
            <v>Mobile Phone</v>
          </cell>
          <cell r="H282" t="str">
            <v>[1]TAB - AON CAMPAIGN - JULY - RIPLEY</v>
          </cell>
          <cell r="I282" t="str">
            <v>Completed</v>
          </cell>
          <cell r="J282" t="str">
            <v>fernandez.r</v>
          </cell>
          <cell r="K282">
            <v>45485</v>
          </cell>
          <cell r="L282">
            <v>45565</v>
          </cell>
          <cell r="M282" t="str">
            <v>G1</v>
          </cell>
          <cell r="N282" t="str">
            <v>DIGITAL MEDIA</v>
          </cell>
          <cell r="O282" t="str">
            <v>A240</v>
          </cell>
          <cell r="P282" t="str">
            <v>SEARCH</v>
          </cell>
          <cell r="Q282" t="str">
            <v>2024</v>
          </cell>
          <cell r="R282" t="str">
            <v>L9YZ7E</v>
          </cell>
          <cell r="S282" t="str">
            <v>COMERCIAL ECCSA S A</v>
          </cell>
          <cell r="T282" t="str">
            <v/>
          </cell>
        </row>
        <row r="283">
          <cell r="C283" t="str">
            <v>T24C850000878</v>
          </cell>
          <cell r="D283" t="str">
            <v>A24C850001165</v>
          </cell>
          <cell r="E283">
            <v>0</v>
          </cell>
          <cell r="F283">
            <v>3000000</v>
          </cell>
          <cell r="G283" t="str">
            <v>Mobile Phone</v>
          </cell>
          <cell r="H283" t="str">
            <v>[1]TAB - AON CAMPAIGN - JULY - RIPLEY</v>
          </cell>
          <cell r="I283" t="str">
            <v>Completed</v>
          </cell>
          <cell r="J283" t="str">
            <v>fernandez.r</v>
          </cell>
          <cell r="K283">
            <v>45485</v>
          </cell>
          <cell r="L283">
            <v>45565</v>
          </cell>
          <cell r="M283" t="str">
            <v>G1</v>
          </cell>
          <cell r="N283" t="str">
            <v>DIGITAL MEDIA</v>
          </cell>
          <cell r="O283" t="str">
            <v>A240</v>
          </cell>
          <cell r="P283" t="str">
            <v>SEARCH</v>
          </cell>
          <cell r="Q283" t="str">
            <v>2024</v>
          </cell>
          <cell r="R283" t="str">
            <v>L9YZ7E</v>
          </cell>
          <cell r="S283" t="str">
            <v>COMERCIAL ECCSA S A</v>
          </cell>
          <cell r="T283" t="str">
            <v/>
          </cell>
        </row>
        <row r="284">
          <cell r="C284" t="str">
            <v>T24C850000879</v>
          </cell>
          <cell r="D284" t="str">
            <v>A24C850001149</v>
          </cell>
          <cell r="E284">
            <v>2000000</v>
          </cell>
          <cell r="F284">
            <v>0</v>
          </cell>
          <cell r="G284" t="str">
            <v>Mobile Phone</v>
          </cell>
          <cell r="H284" t="str">
            <v>[1]HHP - AON CAMPAIGN - JULY - RIPLEY</v>
          </cell>
          <cell r="I284" t="str">
            <v>Completed</v>
          </cell>
          <cell r="J284" t="str">
            <v>fernandez.r</v>
          </cell>
          <cell r="K284">
            <v>45485</v>
          </cell>
          <cell r="L284">
            <v>45565</v>
          </cell>
          <cell r="M284" t="str">
            <v>G1</v>
          </cell>
          <cell r="N284" t="str">
            <v>DIGITAL MEDIA</v>
          </cell>
          <cell r="O284" t="str">
            <v>A250</v>
          </cell>
          <cell r="P284" t="str">
            <v>DISPLAY</v>
          </cell>
          <cell r="Q284" t="str">
            <v>2024</v>
          </cell>
          <cell r="R284" t="str">
            <v>L9YZ7E</v>
          </cell>
          <cell r="S284" t="str">
            <v>COMERCIAL ECCSA S A</v>
          </cell>
          <cell r="T284" t="str">
            <v/>
          </cell>
        </row>
        <row r="285">
          <cell r="C285" t="str">
            <v>T24C850000879</v>
          </cell>
          <cell r="D285" t="str">
            <v>A24C850001149</v>
          </cell>
          <cell r="E285">
            <v>0</v>
          </cell>
          <cell r="F285">
            <v>2000000</v>
          </cell>
          <cell r="G285" t="str">
            <v>Mobile Phone</v>
          </cell>
          <cell r="H285" t="str">
            <v>[1]HHP - AON CAMPAIGN - JULY - RIPLEY</v>
          </cell>
          <cell r="I285" t="str">
            <v>Completed</v>
          </cell>
          <cell r="J285" t="str">
            <v>fernandez.r</v>
          </cell>
          <cell r="K285">
            <v>45485</v>
          </cell>
          <cell r="L285">
            <v>45565</v>
          </cell>
          <cell r="M285" t="str">
            <v>G1</v>
          </cell>
          <cell r="N285" t="str">
            <v>DIGITAL MEDIA</v>
          </cell>
          <cell r="O285" t="str">
            <v>A250</v>
          </cell>
          <cell r="P285" t="str">
            <v>DISPLAY</v>
          </cell>
          <cell r="Q285" t="str">
            <v>2024</v>
          </cell>
          <cell r="R285" t="str">
            <v>L9YZ7E</v>
          </cell>
          <cell r="S285" t="str">
            <v>COMERCIAL ECCSA S A</v>
          </cell>
          <cell r="T285" t="str">
            <v/>
          </cell>
        </row>
        <row r="286">
          <cell r="C286" t="str">
            <v>T24C850000879</v>
          </cell>
          <cell r="D286" t="str">
            <v>A24C850001149</v>
          </cell>
          <cell r="E286">
            <v>5000000</v>
          </cell>
          <cell r="F286">
            <v>0</v>
          </cell>
          <cell r="G286" t="str">
            <v>Mobile Phone</v>
          </cell>
          <cell r="H286" t="str">
            <v>[1]HHP - AON CAMPAIGN - JULY - RIPLEY</v>
          </cell>
          <cell r="I286" t="str">
            <v>Completed</v>
          </cell>
          <cell r="J286" t="str">
            <v>fernandez.r</v>
          </cell>
          <cell r="K286">
            <v>45485</v>
          </cell>
          <cell r="L286">
            <v>45565</v>
          </cell>
          <cell r="M286" t="str">
            <v>G1</v>
          </cell>
          <cell r="N286" t="str">
            <v>DIGITAL MEDIA</v>
          </cell>
          <cell r="O286" t="str">
            <v>A240</v>
          </cell>
          <cell r="P286" t="str">
            <v>SEARCH</v>
          </cell>
          <cell r="Q286" t="str">
            <v>2024</v>
          </cell>
          <cell r="R286" t="str">
            <v>L9YZ7E</v>
          </cell>
          <cell r="S286" t="str">
            <v>COMERCIAL ECCSA S A</v>
          </cell>
          <cell r="T286" t="str">
            <v/>
          </cell>
        </row>
        <row r="287">
          <cell r="C287" t="str">
            <v>T24C850000879</v>
          </cell>
          <cell r="D287" t="str">
            <v>A24C850001149</v>
          </cell>
          <cell r="E287">
            <v>0</v>
          </cell>
          <cell r="F287">
            <v>5000000</v>
          </cell>
          <cell r="G287" t="str">
            <v>Mobile Phone</v>
          </cell>
          <cell r="H287" t="str">
            <v>[1]HHP - AON CAMPAIGN - JULY - RIPLEY</v>
          </cell>
          <cell r="I287" t="str">
            <v>Completed</v>
          </cell>
          <cell r="J287" t="str">
            <v>fernandez.r</v>
          </cell>
          <cell r="K287">
            <v>45485</v>
          </cell>
          <cell r="L287">
            <v>45565</v>
          </cell>
          <cell r="M287" t="str">
            <v>G1</v>
          </cell>
          <cell r="N287" t="str">
            <v>DIGITAL MEDIA</v>
          </cell>
          <cell r="O287" t="str">
            <v>A240</v>
          </cell>
          <cell r="P287" t="str">
            <v>SEARCH</v>
          </cell>
          <cell r="Q287" t="str">
            <v>2024</v>
          </cell>
          <cell r="R287" t="str">
            <v>L9YZ7E</v>
          </cell>
          <cell r="S287" t="str">
            <v>COMERCIAL ECCSA S A</v>
          </cell>
          <cell r="T287" t="str">
            <v/>
          </cell>
        </row>
        <row r="288">
          <cell r="C288" t="str">
            <v>T24C850000944</v>
          </cell>
          <cell r="D288" t="str">
            <v>A24C850001266</v>
          </cell>
          <cell r="E288">
            <v>2000000</v>
          </cell>
          <cell r="F288">
            <v>0</v>
          </cell>
          <cell r="G288" t="str">
            <v>Mobile Phone</v>
          </cell>
          <cell r="H288" t="str">
            <v>[1]TAB - AON CAMPAIGN - AUGUST - SEPTEMBER RIPLEY</v>
          </cell>
          <cell r="I288" t="str">
            <v>Completed</v>
          </cell>
          <cell r="J288" t="str">
            <v>sjara.mella</v>
          </cell>
          <cell r="K288">
            <v>45513</v>
          </cell>
          <cell r="L288">
            <v>45626</v>
          </cell>
          <cell r="M288" t="str">
            <v>G1</v>
          </cell>
          <cell r="N288" t="str">
            <v>DIGITAL MEDIA</v>
          </cell>
          <cell r="O288" t="str">
            <v>A250</v>
          </cell>
          <cell r="P288" t="str">
            <v>DISPLAY</v>
          </cell>
          <cell r="Q288" t="str">
            <v>2024</v>
          </cell>
          <cell r="R288" t="str">
            <v>L9YZ7E</v>
          </cell>
          <cell r="S288" t="str">
            <v>COMERCIAL ECCSA S A</v>
          </cell>
          <cell r="T288" t="str">
            <v/>
          </cell>
        </row>
        <row r="289">
          <cell r="C289" t="str">
            <v>T24C850000944</v>
          </cell>
          <cell r="D289" t="str">
            <v>A24C850001266</v>
          </cell>
          <cell r="E289">
            <v>2500000</v>
          </cell>
          <cell r="F289">
            <v>0</v>
          </cell>
          <cell r="G289" t="str">
            <v>Mobile Phone</v>
          </cell>
          <cell r="H289" t="str">
            <v>[1]TAB - AON CAMPAIGN - AUGUST - SEPTEMBER RIPLEY</v>
          </cell>
          <cell r="I289" t="str">
            <v>Completed</v>
          </cell>
          <cell r="J289" t="str">
            <v>sjara.mella</v>
          </cell>
          <cell r="K289">
            <v>45513</v>
          </cell>
          <cell r="L289">
            <v>45626</v>
          </cell>
          <cell r="M289" t="str">
            <v>G1</v>
          </cell>
          <cell r="N289" t="str">
            <v>DIGITAL MEDIA</v>
          </cell>
          <cell r="O289" t="str">
            <v>A250</v>
          </cell>
          <cell r="P289" t="str">
            <v>DISPLAY</v>
          </cell>
          <cell r="Q289" t="str">
            <v>2024</v>
          </cell>
          <cell r="R289" t="str">
            <v>L9YZ7E</v>
          </cell>
          <cell r="S289" t="str">
            <v>COMERCIAL ECCSA S A</v>
          </cell>
          <cell r="T289" t="str">
            <v/>
          </cell>
        </row>
        <row r="290">
          <cell r="C290" t="str">
            <v>T24C850000944</v>
          </cell>
          <cell r="D290" t="str">
            <v>A24C850001266</v>
          </cell>
          <cell r="E290">
            <v>0</v>
          </cell>
          <cell r="F290">
            <v>428016</v>
          </cell>
          <cell r="G290" t="str">
            <v>Mobile Phone</v>
          </cell>
          <cell r="H290" t="str">
            <v>[1]TAB - AON CAMPAIGN - AUGUST - SEPTEMBER RIPLEY</v>
          </cell>
          <cell r="I290" t="str">
            <v>Completed</v>
          </cell>
          <cell r="J290" t="str">
            <v>sjara.mella</v>
          </cell>
          <cell r="K290">
            <v>45513</v>
          </cell>
          <cell r="L290">
            <v>45626</v>
          </cell>
          <cell r="M290" t="str">
            <v>G1</v>
          </cell>
          <cell r="N290" t="str">
            <v>DIGITAL MEDIA</v>
          </cell>
          <cell r="O290" t="str">
            <v>A250</v>
          </cell>
          <cell r="P290" t="str">
            <v>DISPLAY</v>
          </cell>
          <cell r="Q290" t="str">
            <v>2024</v>
          </cell>
          <cell r="R290" t="str">
            <v>L9YZ7E</v>
          </cell>
          <cell r="S290" t="str">
            <v>COMERCIAL ECCSA S A</v>
          </cell>
          <cell r="T290" t="str">
            <v/>
          </cell>
        </row>
        <row r="291">
          <cell r="C291" t="str">
            <v>T24C850000944</v>
          </cell>
          <cell r="D291" t="str">
            <v>A24C850001266</v>
          </cell>
          <cell r="E291">
            <v>3000000</v>
          </cell>
          <cell r="F291">
            <v>0</v>
          </cell>
          <cell r="G291" t="str">
            <v>Mobile Phone</v>
          </cell>
          <cell r="H291" t="str">
            <v>[1]TAB - AON CAMPAIGN - AUGUST - SEPTEMBER RIPLEY</v>
          </cell>
          <cell r="I291" t="str">
            <v>Completed</v>
          </cell>
          <cell r="J291" t="str">
            <v>sjara.mella</v>
          </cell>
          <cell r="K291">
            <v>45513</v>
          </cell>
          <cell r="L291">
            <v>45626</v>
          </cell>
          <cell r="M291" t="str">
            <v>G1</v>
          </cell>
          <cell r="N291" t="str">
            <v>DIGITAL MEDIA</v>
          </cell>
          <cell r="O291" t="str">
            <v>A240</v>
          </cell>
          <cell r="P291" t="str">
            <v>SEARCH</v>
          </cell>
          <cell r="Q291" t="str">
            <v>2024</v>
          </cell>
          <cell r="R291" t="str">
            <v>L9YZ7E</v>
          </cell>
          <cell r="S291" t="str">
            <v>COMERCIAL ECCSA S A</v>
          </cell>
          <cell r="T291" t="str">
            <v/>
          </cell>
        </row>
        <row r="292">
          <cell r="C292" t="str">
            <v>T24C850000944</v>
          </cell>
          <cell r="D292" t="str">
            <v>A24C850001266</v>
          </cell>
          <cell r="E292">
            <v>2500000</v>
          </cell>
          <cell r="F292">
            <v>0</v>
          </cell>
          <cell r="G292" t="str">
            <v>Mobile Phone</v>
          </cell>
          <cell r="H292" t="str">
            <v>[1]TAB - AON CAMPAIGN - AUGUST - SEPTEMBER RIPLEY</v>
          </cell>
          <cell r="I292" t="str">
            <v>Completed</v>
          </cell>
          <cell r="J292" t="str">
            <v>sjara.mella</v>
          </cell>
          <cell r="K292">
            <v>45513</v>
          </cell>
          <cell r="L292">
            <v>45626</v>
          </cell>
          <cell r="M292" t="str">
            <v>G1</v>
          </cell>
          <cell r="N292" t="str">
            <v>DIGITAL MEDIA</v>
          </cell>
          <cell r="O292" t="str">
            <v>A240</v>
          </cell>
          <cell r="P292" t="str">
            <v>SEARCH</v>
          </cell>
          <cell r="Q292" t="str">
            <v>2024</v>
          </cell>
          <cell r="R292" t="str">
            <v>L9YZ7E</v>
          </cell>
          <cell r="S292" t="str">
            <v>COMERCIAL ECCSA S A</v>
          </cell>
          <cell r="T292" t="str">
            <v/>
          </cell>
        </row>
        <row r="293">
          <cell r="C293" t="str">
            <v>T24C850000944</v>
          </cell>
          <cell r="D293" t="str">
            <v>A24C850001266</v>
          </cell>
          <cell r="E293">
            <v>0</v>
          </cell>
          <cell r="F293">
            <v>1000000</v>
          </cell>
          <cell r="G293" t="str">
            <v>Mobile Phone</v>
          </cell>
          <cell r="H293" t="str">
            <v>[1]TAB - AON CAMPAIGN - AUGUST - SEPTEMBER RIPLEY</v>
          </cell>
          <cell r="I293" t="str">
            <v>Completed</v>
          </cell>
          <cell r="J293" t="str">
            <v>sjara.mella</v>
          </cell>
          <cell r="K293">
            <v>45513</v>
          </cell>
          <cell r="L293">
            <v>45626</v>
          </cell>
          <cell r="M293" t="str">
            <v>G1</v>
          </cell>
          <cell r="N293" t="str">
            <v>DIGITAL MEDIA</v>
          </cell>
          <cell r="O293" t="str">
            <v>A240</v>
          </cell>
          <cell r="P293" t="str">
            <v>SEARCH</v>
          </cell>
          <cell r="Q293" t="str">
            <v>2024</v>
          </cell>
          <cell r="R293" t="str">
            <v>L9YZ7E</v>
          </cell>
          <cell r="S293" t="str">
            <v>COMERCIAL ECCSA S A</v>
          </cell>
          <cell r="T293" t="str">
            <v/>
          </cell>
        </row>
        <row r="294">
          <cell r="C294" t="str">
            <v>T24C850000954</v>
          </cell>
          <cell r="D294" t="str">
            <v>A24C850001283</v>
          </cell>
          <cell r="E294">
            <v>3000000</v>
          </cell>
          <cell r="F294">
            <v>0</v>
          </cell>
          <cell r="G294" t="str">
            <v>Mobile Phone</v>
          </cell>
          <cell r="H294" t="str">
            <v>[1]HHP - AON CAMPAIGN - AUGUST - SEPTEMBER RIPLEY</v>
          </cell>
          <cell r="I294" t="str">
            <v>Completed</v>
          </cell>
          <cell r="J294" t="str">
            <v>sjara.mella</v>
          </cell>
          <cell r="K294">
            <v>45513</v>
          </cell>
          <cell r="L294">
            <v>45626</v>
          </cell>
          <cell r="M294" t="str">
            <v>G1</v>
          </cell>
          <cell r="N294" t="str">
            <v>DIGITAL MEDIA</v>
          </cell>
          <cell r="O294" t="str">
            <v>A250</v>
          </cell>
          <cell r="P294" t="str">
            <v>DISPLAY</v>
          </cell>
          <cell r="Q294" t="str">
            <v>2024</v>
          </cell>
          <cell r="R294" t="str">
            <v>L9YZ7E</v>
          </cell>
          <cell r="S294" t="str">
            <v>COMERCIAL ECCSA S A</v>
          </cell>
          <cell r="T294" t="str">
            <v/>
          </cell>
        </row>
        <row r="295">
          <cell r="C295" t="str">
            <v>T24C850000954</v>
          </cell>
          <cell r="D295" t="str">
            <v>A24C850001283</v>
          </cell>
          <cell r="E295">
            <v>2000000</v>
          </cell>
          <cell r="F295">
            <v>0</v>
          </cell>
          <cell r="G295" t="str">
            <v>Mobile Phone</v>
          </cell>
          <cell r="H295" t="str">
            <v>[1]HHP - AON CAMPAIGN - AUGUST - SEPTEMBER RIPLEY</v>
          </cell>
          <cell r="I295" t="str">
            <v>Completed</v>
          </cell>
          <cell r="J295" t="str">
            <v>sjara.mella</v>
          </cell>
          <cell r="K295">
            <v>45513</v>
          </cell>
          <cell r="L295">
            <v>45626</v>
          </cell>
          <cell r="M295" t="str">
            <v>G1</v>
          </cell>
          <cell r="N295" t="str">
            <v>DIGITAL MEDIA</v>
          </cell>
          <cell r="O295" t="str">
            <v>A250</v>
          </cell>
          <cell r="P295" t="str">
            <v>DISPLAY</v>
          </cell>
          <cell r="Q295" t="str">
            <v>2024</v>
          </cell>
          <cell r="R295" t="str">
            <v>L9YZ7E</v>
          </cell>
          <cell r="S295" t="str">
            <v>COMERCIAL ECCSA S A</v>
          </cell>
          <cell r="T295" t="str">
            <v/>
          </cell>
        </row>
        <row r="296">
          <cell r="C296" t="str">
            <v>T24C850000954</v>
          </cell>
          <cell r="D296" t="str">
            <v>A24C850001283</v>
          </cell>
          <cell r="E296">
            <v>0</v>
          </cell>
          <cell r="F296">
            <v>3000000</v>
          </cell>
          <cell r="G296" t="str">
            <v>Mobile Phone</v>
          </cell>
          <cell r="H296" t="str">
            <v>[1]HHP - AON CAMPAIGN - AUGUST - SEPTEMBER RIPLEY</v>
          </cell>
          <cell r="I296" t="str">
            <v>Completed</v>
          </cell>
          <cell r="J296" t="str">
            <v>sjara.mella</v>
          </cell>
          <cell r="K296">
            <v>45513</v>
          </cell>
          <cell r="L296">
            <v>45626</v>
          </cell>
          <cell r="M296" t="str">
            <v>G1</v>
          </cell>
          <cell r="N296" t="str">
            <v>DIGITAL MEDIA</v>
          </cell>
          <cell r="O296" t="str">
            <v>A250</v>
          </cell>
          <cell r="P296" t="str">
            <v>DISPLAY</v>
          </cell>
          <cell r="Q296" t="str">
            <v>2024</v>
          </cell>
          <cell r="R296" t="str">
            <v>L9YZ7E</v>
          </cell>
          <cell r="S296" t="str">
            <v>COMERCIAL ECCSA S A</v>
          </cell>
          <cell r="T296" t="str">
            <v/>
          </cell>
        </row>
        <row r="297">
          <cell r="C297" t="str">
            <v>T24C850000954</v>
          </cell>
          <cell r="D297" t="str">
            <v>A24C850001283</v>
          </cell>
          <cell r="E297">
            <v>5000000</v>
          </cell>
          <cell r="F297">
            <v>0</v>
          </cell>
          <cell r="G297" t="str">
            <v>Mobile Phone</v>
          </cell>
          <cell r="H297" t="str">
            <v>[1]HHP - AON CAMPAIGN - AUGUST - SEPTEMBER RIPLEY</v>
          </cell>
          <cell r="I297" t="str">
            <v>Completed</v>
          </cell>
          <cell r="J297" t="str">
            <v>sjara.mella</v>
          </cell>
          <cell r="K297">
            <v>45513</v>
          </cell>
          <cell r="L297">
            <v>45626</v>
          </cell>
          <cell r="M297" t="str">
            <v>G1</v>
          </cell>
          <cell r="N297" t="str">
            <v>DIGITAL MEDIA</v>
          </cell>
          <cell r="O297" t="str">
            <v>A240</v>
          </cell>
          <cell r="P297" t="str">
            <v>SEARCH</v>
          </cell>
          <cell r="Q297" t="str">
            <v>2024</v>
          </cell>
          <cell r="R297" t="str">
            <v>L9YZ7E</v>
          </cell>
          <cell r="S297" t="str">
            <v>COMERCIAL ECCSA S A</v>
          </cell>
          <cell r="T297" t="str">
            <v/>
          </cell>
        </row>
        <row r="298">
          <cell r="C298" t="str">
            <v>T24C850000954</v>
          </cell>
          <cell r="D298" t="str">
            <v>A24C850001283</v>
          </cell>
          <cell r="E298">
            <v>2000000</v>
          </cell>
          <cell r="F298">
            <v>0</v>
          </cell>
          <cell r="G298" t="str">
            <v>Mobile Phone</v>
          </cell>
          <cell r="H298" t="str">
            <v>[1]HHP - AON CAMPAIGN - AUGUST - SEPTEMBER RIPLEY</v>
          </cell>
          <cell r="I298" t="str">
            <v>Completed</v>
          </cell>
          <cell r="J298" t="str">
            <v>sjara.mella</v>
          </cell>
          <cell r="K298">
            <v>45513</v>
          </cell>
          <cell r="L298">
            <v>45626</v>
          </cell>
          <cell r="M298" t="str">
            <v>G1</v>
          </cell>
          <cell r="N298" t="str">
            <v>DIGITAL MEDIA</v>
          </cell>
          <cell r="O298" t="str">
            <v>A240</v>
          </cell>
          <cell r="P298" t="str">
            <v>SEARCH</v>
          </cell>
          <cell r="Q298" t="str">
            <v>2024</v>
          </cell>
          <cell r="R298" t="str">
            <v>L9YZ7E</v>
          </cell>
          <cell r="S298" t="str">
            <v>COMERCIAL ECCSA S A</v>
          </cell>
          <cell r="T298" t="str">
            <v/>
          </cell>
        </row>
        <row r="299">
          <cell r="C299" t="str">
            <v>T24C850000954</v>
          </cell>
          <cell r="D299" t="str">
            <v>A24C850001283</v>
          </cell>
          <cell r="E299">
            <v>0</v>
          </cell>
          <cell r="F299">
            <v>5000000</v>
          </cell>
          <cell r="G299" t="str">
            <v>Mobile Phone</v>
          </cell>
          <cell r="H299" t="str">
            <v>[1]HHP - AON CAMPAIGN - AUGUST - SEPTEMBER RIPLEY</v>
          </cell>
          <cell r="I299" t="str">
            <v>Completed</v>
          </cell>
          <cell r="J299" t="str">
            <v>sjara.mella</v>
          </cell>
          <cell r="K299">
            <v>45513</v>
          </cell>
          <cell r="L299">
            <v>45626</v>
          </cell>
          <cell r="M299" t="str">
            <v>G1</v>
          </cell>
          <cell r="N299" t="str">
            <v>DIGITAL MEDIA</v>
          </cell>
          <cell r="O299" t="str">
            <v>A240</v>
          </cell>
          <cell r="P299" t="str">
            <v>SEARCH</v>
          </cell>
          <cell r="Q299" t="str">
            <v>2024</v>
          </cell>
          <cell r="R299" t="str">
            <v>L9YZ7E</v>
          </cell>
          <cell r="S299" t="str">
            <v>COMERCIAL ECCSA S A</v>
          </cell>
          <cell r="T299" t="str">
            <v/>
          </cell>
        </row>
        <row r="300">
          <cell r="C300" t="str">
            <v>T24C850000957</v>
          </cell>
          <cell r="D300" t="str">
            <v>A24C850001290</v>
          </cell>
          <cell r="E300">
            <v>1500000</v>
          </cell>
          <cell r="F300">
            <v>0</v>
          </cell>
          <cell r="G300" t="str">
            <v>Mobile Phone</v>
          </cell>
          <cell r="H300" t="str">
            <v>[1]WEAR - AON CAMPAIGN - AUGUST TO NOVEMBER - RIPLEY</v>
          </cell>
          <cell r="I300" t="str">
            <v>Completed</v>
          </cell>
          <cell r="J300" t="str">
            <v>fernandez.r</v>
          </cell>
          <cell r="K300">
            <v>45516</v>
          </cell>
          <cell r="L300">
            <v>45657</v>
          </cell>
          <cell r="M300" t="str">
            <v>G1</v>
          </cell>
          <cell r="N300" t="str">
            <v>DIGITAL MEDIA</v>
          </cell>
          <cell r="O300" t="str">
            <v>A240</v>
          </cell>
          <cell r="P300" t="str">
            <v>SEARCH</v>
          </cell>
          <cell r="Q300" t="str">
            <v>2024</v>
          </cell>
          <cell r="R300" t="str">
            <v>L9YZ7E</v>
          </cell>
          <cell r="S300" t="str">
            <v>COMERCIAL ECCSA S A</v>
          </cell>
          <cell r="T300" t="str">
            <v/>
          </cell>
          <cell r="U300" t="str">
            <v>Remanente pedir factura</v>
          </cell>
        </row>
        <row r="301">
          <cell r="C301" t="str">
            <v>T24C850000957</v>
          </cell>
          <cell r="D301" t="str">
            <v>A24C850001290</v>
          </cell>
          <cell r="E301">
            <v>1000000</v>
          </cell>
          <cell r="F301">
            <v>0</v>
          </cell>
          <cell r="G301" t="str">
            <v>Mobile Phone</v>
          </cell>
          <cell r="H301" t="str">
            <v>[1]WEAR - AON CAMPAIGN - AUGUST TO NOVEMBER - RIPLEY</v>
          </cell>
          <cell r="I301" t="str">
            <v>Completed</v>
          </cell>
          <cell r="J301" t="str">
            <v>fernandez.r</v>
          </cell>
          <cell r="K301">
            <v>45516</v>
          </cell>
          <cell r="L301">
            <v>45657</v>
          </cell>
          <cell r="M301" t="str">
            <v>G1</v>
          </cell>
          <cell r="N301" t="str">
            <v>DIGITAL MEDIA</v>
          </cell>
          <cell r="O301" t="str">
            <v>A240</v>
          </cell>
          <cell r="P301" t="str">
            <v>SEARCH</v>
          </cell>
          <cell r="Q301" t="str">
            <v>2024</v>
          </cell>
          <cell r="R301" t="str">
            <v>L9YZ7E</v>
          </cell>
          <cell r="S301" t="str">
            <v>COMERCIAL ECCSA S A</v>
          </cell>
          <cell r="T301" t="str">
            <v/>
          </cell>
          <cell r="U301" t="str">
            <v>Remanente pedir factura</v>
          </cell>
        </row>
        <row r="302">
          <cell r="C302" t="str">
            <v>T24C850000957</v>
          </cell>
          <cell r="D302" t="str">
            <v>A24C850001290</v>
          </cell>
          <cell r="E302">
            <v>1000000</v>
          </cell>
          <cell r="F302">
            <v>0</v>
          </cell>
          <cell r="G302" t="str">
            <v>Mobile Phone</v>
          </cell>
          <cell r="H302" t="str">
            <v>[1]WEAR - AON CAMPAIGN - AUGUST TO NOVEMBER - RIPLEY</v>
          </cell>
          <cell r="I302" t="str">
            <v>Completed</v>
          </cell>
          <cell r="J302" t="str">
            <v>fernandez.r</v>
          </cell>
          <cell r="K302">
            <v>45516</v>
          </cell>
          <cell r="L302">
            <v>45657</v>
          </cell>
          <cell r="M302" t="str">
            <v>G1</v>
          </cell>
          <cell r="N302" t="str">
            <v>DIGITAL MEDIA</v>
          </cell>
          <cell r="O302" t="str">
            <v>A240</v>
          </cell>
          <cell r="P302" t="str">
            <v>SEARCH</v>
          </cell>
          <cell r="Q302" t="str">
            <v>2024</v>
          </cell>
          <cell r="R302" t="str">
            <v>L9YZ7E</v>
          </cell>
          <cell r="S302" t="str">
            <v>COMERCIAL ECCSA S A</v>
          </cell>
          <cell r="T302" t="str">
            <v/>
          </cell>
          <cell r="U302" t="str">
            <v>Remanente pedir factura</v>
          </cell>
        </row>
        <row r="303">
          <cell r="C303" t="str">
            <v>T24C850000957</v>
          </cell>
          <cell r="D303" t="str">
            <v>A24C850001290</v>
          </cell>
          <cell r="E303">
            <v>500000</v>
          </cell>
          <cell r="F303">
            <v>0</v>
          </cell>
          <cell r="G303" t="str">
            <v>Mobile Phone</v>
          </cell>
          <cell r="H303" t="str">
            <v>[1]WEAR - AON CAMPAIGN - AUGUST TO NOVEMBER - RIPLEY</v>
          </cell>
          <cell r="I303" t="str">
            <v>Completed</v>
          </cell>
          <cell r="J303" t="str">
            <v>fernandez.r</v>
          </cell>
          <cell r="K303">
            <v>45516</v>
          </cell>
          <cell r="L303">
            <v>45657</v>
          </cell>
          <cell r="M303" t="str">
            <v>G1</v>
          </cell>
          <cell r="N303" t="str">
            <v>DIGITAL MEDIA</v>
          </cell>
          <cell r="O303" t="str">
            <v>A240</v>
          </cell>
          <cell r="P303" t="str">
            <v>SEARCH</v>
          </cell>
          <cell r="Q303" t="str">
            <v>2024</v>
          </cell>
          <cell r="R303" t="str">
            <v>L9YZ7E</v>
          </cell>
          <cell r="S303" t="str">
            <v>COMERCIAL ECCSA S A</v>
          </cell>
          <cell r="T303" t="str">
            <v/>
          </cell>
          <cell r="U303" t="str">
            <v>Remanente pedir factura</v>
          </cell>
        </row>
        <row r="304">
          <cell r="C304" t="str">
            <v>T24C850000957</v>
          </cell>
          <cell r="D304" t="str">
            <v>A24C850001290</v>
          </cell>
          <cell r="E304">
            <v>1000000</v>
          </cell>
          <cell r="F304">
            <v>0</v>
          </cell>
          <cell r="G304" t="str">
            <v>Mobile Phone</v>
          </cell>
          <cell r="H304" t="str">
            <v>[1]WEAR - AON CAMPAIGN - AUGUST TO NOVEMBER - RIPLEY</v>
          </cell>
          <cell r="I304" t="str">
            <v>Completed</v>
          </cell>
          <cell r="J304" t="str">
            <v>fernandez.r</v>
          </cell>
          <cell r="K304">
            <v>45516</v>
          </cell>
          <cell r="L304">
            <v>45657</v>
          </cell>
          <cell r="M304" t="str">
            <v>G1</v>
          </cell>
          <cell r="N304" t="str">
            <v>DIGITAL MEDIA</v>
          </cell>
          <cell r="O304" t="str">
            <v>A250</v>
          </cell>
          <cell r="P304" t="str">
            <v>DISPLAY</v>
          </cell>
          <cell r="Q304" t="str">
            <v>2024</v>
          </cell>
          <cell r="R304" t="str">
            <v>L9YZ7E</v>
          </cell>
          <cell r="S304" t="str">
            <v>COMERCIAL ECCSA S A</v>
          </cell>
          <cell r="T304" t="str">
            <v/>
          </cell>
          <cell r="U304" t="str">
            <v>Remanente pedir factura</v>
          </cell>
        </row>
        <row r="305">
          <cell r="C305" t="str">
            <v>T24C850000957</v>
          </cell>
          <cell r="D305" t="str">
            <v>A24C850001290</v>
          </cell>
          <cell r="E305">
            <v>500000</v>
          </cell>
          <cell r="F305">
            <v>0</v>
          </cell>
          <cell r="G305" t="str">
            <v>Mobile Phone</v>
          </cell>
          <cell r="H305" t="str">
            <v>[1]WEAR - AON CAMPAIGN - AUGUST TO NOVEMBER - RIPLEY</v>
          </cell>
          <cell r="I305" t="str">
            <v>Completed</v>
          </cell>
          <cell r="J305" t="str">
            <v>fernandez.r</v>
          </cell>
          <cell r="K305">
            <v>45516</v>
          </cell>
          <cell r="L305">
            <v>45657</v>
          </cell>
          <cell r="M305" t="str">
            <v>G1</v>
          </cell>
          <cell r="N305" t="str">
            <v>DIGITAL MEDIA</v>
          </cell>
          <cell r="O305" t="str">
            <v>A250</v>
          </cell>
          <cell r="P305" t="str">
            <v>DISPLAY</v>
          </cell>
          <cell r="Q305" t="str">
            <v>2024</v>
          </cell>
          <cell r="R305" t="str">
            <v>L9YZ7E</v>
          </cell>
          <cell r="S305" t="str">
            <v>COMERCIAL ECCSA S A</v>
          </cell>
          <cell r="T305" t="str">
            <v/>
          </cell>
          <cell r="U305" t="str">
            <v>Remanente pedir factura</v>
          </cell>
        </row>
        <row r="306">
          <cell r="C306" t="str">
            <v>T24C850000979</v>
          </cell>
          <cell r="D306" t="str">
            <v>A24C850001341</v>
          </cell>
          <cell r="E306">
            <v>2000000</v>
          </cell>
          <cell r="F306">
            <v>0</v>
          </cell>
          <cell r="G306" t="str">
            <v>Computer</v>
          </cell>
          <cell r="H306" t="str">
            <v>[1]NPC - AON CAMPAIGN - AUGUST - RIPLEY</v>
          </cell>
          <cell r="I306" t="str">
            <v>Completed</v>
          </cell>
          <cell r="J306" t="str">
            <v>fernandez.r</v>
          </cell>
          <cell r="K306">
            <v>45527</v>
          </cell>
          <cell r="L306">
            <v>45626</v>
          </cell>
          <cell r="M306" t="str">
            <v>C3</v>
          </cell>
          <cell r="N306" t="str">
            <v>DIGITAL MEDIA</v>
          </cell>
          <cell r="O306" t="str">
            <v>A250</v>
          </cell>
          <cell r="P306" t="str">
            <v>DISPLAY</v>
          </cell>
          <cell r="Q306" t="str">
            <v>2024</v>
          </cell>
          <cell r="R306" t="str">
            <v>L9YZ7E</v>
          </cell>
          <cell r="S306" t="str">
            <v>COMERCIAL ECCSA S A</v>
          </cell>
          <cell r="T306" t="str">
            <v/>
          </cell>
        </row>
        <row r="307">
          <cell r="C307" t="str">
            <v>T24C850000979</v>
          </cell>
          <cell r="D307" t="str">
            <v>A24C850001341</v>
          </cell>
          <cell r="E307">
            <v>3000000</v>
          </cell>
          <cell r="F307">
            <v>0</v>
          </cell>
          <cell r="G307" t="str">
            <v>Computer</v>
          </cell>
          <cell r="H307" t="str">
            <v>[1]NPC - AON CAMPAIGN - AUGUST - RIPLEY</v>
          </cell>
          <cell r="I307" t="str">
            <v>Completed</v>
          </cell>
          <cell r="J307" t="str">
            <v>fernandez.r</v>
          </cell>
          <cell r="K307">
            <v>45527</v>
          </cell>
          <cell r="L307">
            <v>45626</v>
          </cell>
          <cell r="M307" t="str">
            <v>C3</v>
          </cell>
          <cell r="N307" t="str">
            <v>DIGITAL MEDIA</v>
          </cell>
          <cell r="O307" t="str">
            <v>A240</v>
          </cell>
          <cell r="P307" t="str">
            <v>SEARCH</v>
          </cell>
          <cell r="Q307" t="str">
            <v>2024</v>
          </cell>
          <cell r="R307" t="str">
            <v>L9YZ7E</v>
          </cell>
          <cell r="S307" t="str">
            <v>COMERCIAL ECCSA S A</v>
          </cell>
          <cell r="T307" t="str">
            <v/>
          </cell>
        </row>
        <row r="308">
          <cell r="C308" t="str">
            <v>T24C850001140</v>
          </cell>
          <cell r="D308" t="str">
            <v>A24C850001590</v>
          </cell>
          <cell r="E308">
            <v>1000000</v>
          </cell>
          <cell r="F308">
            <v>0</v>
          </cell>
          <cell r="G308" t="str">
            <v>Mobile Phone</v>
          </cell>
          <cell r="H308" t="str">
            <v>[3]WEAR AON WEAR RETAIL CAMPAIGN 2024</v>
          </cell>
          <cell r="I308" t="str">
            <v>Completed</v>
          </cell>
          <cell r="J308" t="str">
            <v>f.inda</v>
          </cell>
          <cell r="K308">
            <v>45566</v>
          </cell>
          <cell r="L308">
            <v>45657</v>
          </cell>
          <cell r="M308" t="str">
            <v>G1</v>
          </cell>
          <cell r="N308" t="str">
            <v>DIGITAL MEDIA</v>
          </cell>
          <cell r="O308" t="str">
            <v>A230</v>
          </cell>
          <cell r="P308" t="str">
            <v>SOCIAL ADS</v>
          </cell>
          <cell r="Q308" t="str">
            <v>2024</v>
          </cell>
          <cell r="R308" t="str">
            <v>L9YZ7E</v>
          </cell>
          <cell r="S308" t="str">
            <v>COMERCIAL ECCSA S A</v>
          </cell>
          <cell r="T308" t="str">
            <v/>
          </cell>
        </row>
        <row r="309">
          <cell r="C309" t="str">
            <v>T24C850001140</v>
          </cell>
          <cell r="D309" t="str">
            <v>A24C850001590</v>
          </cell>
          <cell r="E309">
            <v>500000</v>
          </cell>
          <cell r="F309">
            <v>0</v>
          </cell>
          <cell r="G309" t="str">
            <v>Mobile Phone</v>
          </cell>
          <cell r="H309" t="str">
            <v>[3]WEAR AON WEAR RETAIL CAMPAIGN 2024</v>
          </cell>
          <cell r="I309" t="str">
            <v>Completed</v>
          </cell>
          <cell r="J309" t="str">
            <v>f.inda</v>
          </cell>
          <cell r="K309">
            <v>45566</v>
          </cell>
          <cell r="L309">
            <v>45657</v>
          </cell>
          <cell r="M309" t="str">
            <v>G1</v>
          </cell>
          <cell r="N309" t="str">
            <v>DIGITAL MEDIA</v>
          </cell>
          <cell r="O309" t="str">
            <v>A230</v>
          </cell>
          <cell r="P309" t="str">
            <v>SOCIAL ADS</v>
          </cell>
          <cell r="Q309" t="str">
            <v>2024</v>
          </cell>
          <cell r="R309" t="str">
            <v>L9YZ7E</v>
          </cell>
          <cell r="S309" t="str">
            <v>COMERCIAL ECCSA S A</v>
          </cell>
          <cell r="T309" t="str">
            <v/>
          </cell>
        </row>
        <row r="310">
          <cell r="C310" t="str">
            <v>T24C850001145</v>
          </cell>
          <cell r="D310" t="str">
            <v>A24C850001594</v>
          </cell>
          <cell r="E310">
            <v>2500000</v>
          </cell>
          <cell r="F310">
            <v>0</v>
          </cell>
          <cell r="G310" t="str">
            <v>Mobile Phone</v>
          </cell>
          <cell r="H310" t="str">
            <v>[3]TAB AON SEP RETAIL CAMPAIGN 2024</v>
          </cell>
          <cell r="I310" t="str">
            <v>Completed</v>
          </cell>
          <cell r="J310" t="str">
            <v>f.inda</v>
          </cell>
          <cell r="K310">
            <v>45566</v>
          </cell>
          <cell r="L310">
            <v>45657</v>
          </cell>
          <cell r="M310" t="str">
            <v>G1</v>
          </cell>
          <cell r="N310" t="str">
            <v>DIGITAL MEDIA</v>
          </cell>
          <cell r="O310" t="str">
            <v>A240</v>
          </cell>
          <cell r="P310" t="str">
            <v>SEARCH</v>
          </cell>
          <cell r="Q310" t="str">
            <v>2024</v>
          </cell>
          <cell r="R310" t="str">
            <v>L9YZ7E</v>
          </cell>
          <cell r="S310" t="str">
            <v>COMERCIAL ECCSA S A</v>
          </cell>
          <cell r="T310" t="str">
            <v/>
          </cell>
        </row>
        <row r="311">
          <cell r="C311" t="str">
            <v>T24C850001145</v>
          </cell>
          <cell r="D311" t="str">
            <v>A24C850001594</v>
          </cell>
          <cell r="E311">
            <v>2500000</v>
          </cell>
          <cell r="F311">
            <v>0</v>
          </cell>
          <cell r="G311" t="str">
            <v>Mobile Phone</v>
          </cell>
          <cell r="H311" t="str">
            <v>[3]TAB AON SEP RETAIL CAMPAIGN 2024</v>
          </cell>
          <cell r="I311" t="str">
            <v>Completed</v>
          </cell>
          <cell r="J311" t="str">
            <v>f.inda</v>
          </cell>
          <cell r="K311">
            <v>45566</v>
          </cell>
          <cell r="L311">
            <v>45657</v>
          </cell>
          <cell r="M311" t="str">
            <v>G1</v>
          </cell>
          <cell r="N311" t="str">
            <v>DIGITAL MEDIA</v>
          </cell>
          <cell r="O311" t="str">
            <v>A240</v>
          </cell>
          <cell r="P311" t="str">
            <v>SEARCH</v>
          </cell>
          <cell r="Q311" t="str">
            <v>2024</v>
          </cell>
          <cell r="R311" t="str">
            <v>L9YZ7E</v>
          </cell>
          <cell r="S311" t="str">
            <v>COMERCIAL ECCSA S A</v>
          </cell>
          <cell r="T311" t="str">
            <v/>
          </cell>
        </row>
        <row r="312">
          <cell r="C312" t="str">
            <v>T24C850001145</v>
          </cell>
          <cell r="D312" t="str">
            <v>A24C850001594</v>
          </cell>
          <cell r="E312">
            <v>3300000</v>
          </cell>
          <cell r="F312">
            <v>0</v>
          </cell>
          <cell r="G312" t="str">
            <v>Mobile Phone</v>
          </cell>
          <cell r="H312" t="str">
            <v>[3]TAB AON SEP RETAIL CAMPAIGN 2024</v>
          </cell>
          <cell r="I312" t="str">
            <v>Completed</v>
          </cell>
          <cell r="J312" t="str">
            <v>f.inda</v>
          </cell>
          <cell r="K312">
            <v>45566</v>
          </cell>
          <cell r="L312">
            <v>45657</v>
          </cell>
          <cell r="M312" t="str">
            <v>G1</v>
          </cell>
          <cell r="N312" t="str">
            <v>DIGITAL MEDIA</v>
          </cell>
          <cell r="O312" t="str">
            <v>A240</v>
          </cell>
          <cell r="P312" t="str">
            <v>SEARCH</v>
          </cell>
          <cell r="Q312" t="str">
            <v>2024</v>
          </cell>
          <cell r="R312" t="str">
            <v>L9YZ7E</v>
          </cell>
          <cell r="S312" t="str">
            <v>COMERCIAL ECCSA S A</v>
          </cell>
          <cell r="T312" t="str">
            <v/>
          </cell>
        </row>
        <row r="313">
          <cell r="C313" t="str">
            <v>T24C850001145</v>
          </cell>
          <cell r="D313" t="str">
            <v>A24C850001594</v>
          </cell>
          <cell r="E313">
            <v>2500000</v>
          </cell>
          <cell r="F313">
            <v>0</v>
          </cell>
          <cell r="G313" t="str">
            <v>Mobile Phone</v>
          </cell>
          <cell r="H313" t="str">
            <v>[3]TAB AON SEP RETAIL CAMPAIGN 2024</v>
          </cell>
          <cell r="I313" t="str">
            <v>Completed</v>
          </cell>
          <cell r="J313" t="str">
            <v>f.inda</v>
          </cell>
          <cell r="K313">
            <v>45566</v>
          </cell>
          <cell r="L313">
            <v>45657</v>
          </cell>
          <cell r="M313" t="str">
            <v>G1</v>
          </cell>
          <cell r="N313" t="str">
            <v>DIGITAL MEDIA</v>
          </cell>
          <cell r="O313" t="str">
            <v>A230</v>
          </cell>
          <cell r="P313" t="str">
            <v>SOCIAL ADS</v>
          </cell>
          <cell r="Q313" t="str">
            <v>2024</v>
          </cell>
          <cell r="R313" t="str">
            <v>L9YZ7E</v>
          </cell>
          <cell r="S313" t="str">
            <v>COMERCIAL ECCSA S A</v>
          </cell>
          <cell r="T313" t="str">
            <v/>
          </cell>
        </row>
        <row r="314">
          <cell r="C314" t="str">
            <v>T24C850001145</v>
          </cell>
          <cell r="D314" t="str">
            <v>A24C850001594</v>
          </cell>
          <cell r="E314">
            <v>2500000</v>
          </cell>
          <cell r="F314">
            <v>0</v>
          </cell>
          <cell r="G314" t="str">
            <v>Mobile Phone</v>
          </cell>
          <cell r="H314" t="str">
            <v>[3]TAB AON SEP RETAIL CAMPAIGN 2024</v>
          </cell>
          <cell r="I314" t="str">
            <v>Completed</v>
          </cell>
          <cell r="J314" t="str">
            <v>f.inda</v>
          </cell>
          <cell r="K314">
            <v>45566</v>
          </cell>
          <cell r="L314">
            <v>45657</v>
          </cell>
          <cell r="M314" t="str">
            <v>G1</v>
          </cell>
          <cell r="N314" t="str">
            <v>DIGITAL MEDIA</v>
          </cell>
          <cell r="O314" t="str">
            <v>A230</v>
          </cell>
          <cell r="P314" t="str">
            <v>SOCIAL ADS</v>
          </cell>
          <cell r="Q314" t="str">
            <v>2024</v>
          </cell>
          <cell r="R314" t="str">
            <v>L9YZ7E</v>
          </cell>
          <cell r="S314" t="str">
            <v>COMERCIAL ECCSA S A</v>
          </cell>
          <cell r="T314" t="str">
            <v/>
          </cell>
        </row>
        <row r="315">
          <cell r="C315" t="str">
            <v>T24C850001145</v>
          </cell>
          <cell r="D315" t="str">
            <v>A24C850001594</v>
          </cell>
          <cell r="E315">
            <v>3300000</v>
          </cell>
          <cell r="F315">
            <v>0</v>
          </cell>
          <cell r="G315" t="str">
            <v>Mobile Phone</v>
          </cell>
          <cell r="H315" t="str">
            <v>[3]TAB AON SEP RETAIL CAMPAIGN 2024</v>
          </cell>
          <cell r="I315" t="str">
            <v>Completed</v>
          </cell>
          <cell r="J315" t="str">
            <v>f.inda</v>
          </cell>
          <cell r="K315">
            <v>45566</v>
          </cell>
          <cell r="L315">
            <v>45657</v>
          </cell>
          <cell r="M315" t="str">
            <v>G1</v>
          </cell>
          <cell r="N315" t="str">
            <v>DIGITAL MEDIA</v>
          </cell>
          <cell r="O315" t="str">
            <v>A230</v>
          </cell>
          <cell r="P315" t="str">
            <v>SOCIAL ADS</v>
          </cell>
          <cell r="Q315" t="str">
            <v>2024</v>
          </cell>
          <cell r="R315" t="str">
            <v>L9YZ7E</v>
          </cell>
          <cell r="S315" t="str">
            <v>COMERCIAL ECCSA S A</v>
          </cell>
          <cell r="T315" t="str">
            <v/>
          </cell>
        </row>
        <row r="316">
          <cell r="C316" t="str">
            <v>T24C850001147</v>
          </cell>
          <cell r="D316" t="str">
            <v>A24C850001591</v>
          </cell>
          <cell r="E316">
            <v>5000000</v>
          </cell>
          <cell r="F316">
            <v>0</v>
          </cell>
          <cell r="G316" t="str">
            <v>Computer</v>
          </cell>
          <cell r="H316" t="str">
            <v>[3]NPC AON Q4 RETAIL.COM CAMPAIGN 2024</v>
          </cell>
          <cell r="I316" t="str">
            <v>Completed</v>
          </cell>
          <cell r="J316" t="str">
            <v>m.lavanchy</v>
          </cell>
          <cell r="K316">
            <v>45566</v>
          </cell>
          <cell r="L316">
            <v>45657</v>
          </cell>
          <cell r="M316" t="str">
            <v>C3</v>
          </cell>
          <cell r="N316" t="str">
            <v>DIGITAL MEDIA</v>
          </cell>
          <cell r="O316" t="str">
            <v>A240</v>
          </cell>
          <cell r="P316" t="str">
            <v>SEARCH</v>
          </cell>
          <cell r="Q316" t="str">
            <v>2024</v>
          </cell>
          <cell r="R316" t="str">
            <v>L9YZ7E</v>
          </cell>
          <cell r="S316" t="str">
            <v>COMERCIAL ECCSA S A</v>
          </cell>
          <cell r="T316" t="str">
            <v/>
          </cell>
        </row>
        <row r="317">
          <cell r="C317" t="str">
            <v>T24C850001147</v>
          </cell>
          <cell r="D317" t="str">
            <v>A24C850001591</v>
          </cell>
          <cell r="E317">
            <v>5000000</v>
          </cell>
          <cell r="F317">
            <v>0</v>
          </cell>
          <cell r="G317" t="str">
            <v>Computer</v>
          </cell>
          <cell r="H317" t="str">
            <v>[3]NPC AON Q4 RETAIL.COM CAMPAIGN 2024</v>
          </cell>
          <cell r="I317" t="str">
            <v>Completed</v>
          </cell>
          <cell r="J317" t="str">
            <v>m.lavanchy</v>
          </cell>
          <cell r="K317">
            <v>45566</v>
          </cell>
          <cell r="L317">
            <v>45657</v>
          </cell>
          <cell r="M317" t="str">
            <v>C3</v>
          </cell>
          <cell r="N317" t="str">
            <v>DIGITAL MEDIA</v>
          </cell>
          <cell r="O317" t="str">
            <v>A240</v>
          </cell>
          <cell r="P317" t="str">
            <v>SEARCH</v>
          </cell>
          <cell r="Q317" t="str">
            <v>2024</v>
          </cell>
          <cell r="R317" t="str">
            <v>L9YZ7E</v>
          </cell>
          <cell r="S317" t="str">
            <v>COMERCIAL ECCSA S A</v>
          </cell>
          <cell r="T317" t="str">
            <v/>
          </cell>
        </row>
        <row r="318">
          <cell r="C318" t="str">
            <v>T24C850001147</v>
          </cell>
          <cell r="D318" t="str">
            <v>A24C850001591</v>
          </cell>
          <cell r="E318">
            <v>5000000</v>
          </cell>
          <cell r="F318">
            <v>0</v>
          </cell>
          <cell r="G318" t="str">
            <v>Computer</v>
          </cell>
          <cell r="H318" t="str">
            <v>[3]NPC AON Q4 RETAIL.COM CAMPAIGN 2024</v>
          </cell>
          <cell r="I318" t="str">
            <v>Completed</v>
          </cell>
          <cell r="J318" t="str">
            <v>m.lavanchy</v>
          </cell>
          <cell r="K318">
            <v>45566</v>
          </cell>
          <cell r="L318">
            <v>45657</v>
          </cell>
          <cell r="M318" t="str">
            <v>C3</v>
          </cell>
          <cell r="N318" t="str">
            <v>DIGITAL MEDIA</v>
          </cell>
          <cell r="O318" t="str">
            <v>A230</v>
          </cell>
          <cell r="P318" t="str">
            <v>SOCIAL ADS</v>
          </cell>
          <cell r="Q318" t="str">
            <v>2024</v>
          </cell>
          <cell r="R318" t="str">
            <v>L9YZ7E</v>
          </cell>
          <cell r="S318" t="str">
            <v>COMERCIAL ECCSA S A</v>
          </cell>
          <cell r="T318" t="str">
            <v/>
          </cell>
        </row>
        <row r="319">
          <cell r="C319" t="str">
            <v>T24C850001147</v>
          </cell>
          <cell r="D319" t="str">
            <v>A24C850001591</v>
          </cell>
          <cell r="E319">
            <v>5000000</v>
          </cell>
          <cell r="F319">
            <v>0</v>
          </cell>
          <cell r="G319" t="str">
            <v>Computer</v>
          </cell>
          <cell r="H319" t="str">
            <v>[3]NPC AON Q4 RETAIL.COM CAMPAIGN 2024</v>
          </cell>
          <cell r="I319" t="str">
            <v>Completed</v>
          </cell>
          <cell r="J319" t="str">
            <v>m.lavanchy</v>
          </cell>
          <cell r="K319">
            <v>45566</v>
          </cell>
          <cell r="L319">
            <v>45657</v>
          </cell>
          <cell r="M319" t="str">
            <v>C3</v>
          </cell>
          <cell r="N319" t="str">
            <v>DIGITAL MEDIA</v>
          </cell>
          <cell r="O319" t="str">
            <v>A230</v>
          </cell>
          <cell r="P319" t="str">
            <v>SOCIAL ADS</v>
          </cell>
          <cell r="Q319" t="str">
            <v>2024</v>
          </cell>
          <cell r="R319" t="str">
            <v>L9YZ7E</v>
          </cell>
          <cell r="S319" t="str">
            <v>COMERCIAL ECCSA S A</v>
          </cell>
          <cell r="T319" t="str">
            <v/>
          </cell>
        </row>
        <row r="320">
          <cell r="C320" t="str">
            <v>T24C850001151</v>
          </cell>
          <cell r="D320" t="str">
            <v>A24C850001596</v>
          </cell>
          <cell r="E320">
            <v>5500000</v>
          </cell>
          <cell r="F320">
            <v>0</v>
          </cell>
          <cell r="G320" t="str">
            <v>Mobile Phone</v>
          </cell>
          <cell r="H320" t="str">
            <v>[3]HHP AON Q4 RETAIL CAMPAIGN 2024</v>
          </cell>
          <cell r="I320" t="str">
            <v>Completed</v>
          </cell>
          <cell r="J320" t="str">
            <v>m.lavanchy</v>
          </cell>
          <cell r="K320">
            <v>45566</v>
          </cell>
          <cell r="L320">
            <v>45657</v>
          </cell>
          <cell r="M320" t="str">
            <v>G1</v>
          </cell>
          <cell r="N320" t="str">
            <v>DIGITAL MEDIA</v>
          </cell>
          <cell r="O320" t="str">
            <v>A240</v>
          </cell>
          <cell r="P320" t="str">
            <v>SEARCH</v>
          </cell>
          <cell r="Q320" t="str">
            <v>2024</v>
          </cell>
          <cell r="R320" t="str">
            <v>L9YZ7E</v>
          </cell>
          <cell r="S320" t="str">
            <v>COMERCIAL ECCSA S A</v>
          </cell>
          <cell r="T320" t="str">
            <v/>
          </cell>
        </row>
        <row r="321">
          <cell r="C321" t="str">
            <v>T24C850001151</v>
          </cell>
          <cell r="D321" t="str">
            <v>A24C850001596</v>
          </cell>
          <cell r="E321">
            <v>3500000</v>
          </cell>
          <cell r="F321">
            <v>0</v>
          </cell>
          <cell r="G321" t="str">
            <v>Mobile Phone</v>
          </cell>
          <cell r="H321" t="str">
            <v>[3]HHP AON Q4 RETAIL CAMPAIGN 2024</v>
          </cell>
          <cell r="I321" t="str">
            <v>Completed</v>
          </cell>
          <cell r="J321" t="str">
            <v>m.lavanchy</v>
          </cell>
          <cell r="K321">
            <v>45566</v>
          </cell>
          <cell r="L321">
            <v>45657</v>
          </cell>
          <cell r="M321" t="str">
            <v>G1</v>
          </cell>
          <cell r="N321" t="str">
            <v>DIGITAL MEDIA</v>
          </cell>
          <cell r="O321" t="str">
            <v>A240</v>
          </cell>
          <cell r="P321" t="str">
            <v>SEARCH</v>
          </cell>
          <cell r="Q321" t="str">
            <v>2024</v>
          </cell>
          <cell r="R321" t="str">
            <v>L9YZ7E</v>
          </cell>
          <cell r="S321" t="str">
            <v>COMERCIAL ECCSA S A</v>
          </cell>
          <cell r="T321" t="str">
            <v/>
          </cell>
        </row>
        <row r="322">
          <cell r="C322" t="str">
            <v>T24C850001151</v>
          </cell>
          <cell r="D322" t="str">
            <v>A24C850001596</v>
          </cell>
          <cell r="E322">
            <v>5500000</v>
          </cell>
          <cell r="F322">
            <v>0</v>
          </cell>
          <cell r="G322" t="str">
            <v>Mobile Phone</v>
          </cell>
          <cell r="H322" t="str">
            <v>[3]HHP AON Q4 RETAIL CAMPAIGN 2024</v>
          </cell>
          <cell r="I322" t="str">
            <v>Completed</v>
          </cell>
          <cell r="J322" t="str">
            <v>m.lavanchy</v>
          </cell>
          <cell r="K322">
            <v>45566</v>
          </cell>
          <cell r="L322">
            <v>45657</v>
          </cell>
          <cell r="M322" t="str">
            <v>G1</v>
          </cell>
          <cell r="N322" t="str">
            <v>DIGITAL MEDIA</v>
          </cell>
          <cell r="O322" t="str">
            <v>A240</v>
          </cell>
          <cell r="P322" t="str">
            <v>SEARCH</v>
          </cell>
          <cell r="Q322" t="str">
            <v>2024</v>
          </cell>
          <cell r="R322" t="str">
            <v>L9YZ7E</v>
          </cell>
          <cell r="S322" t="str">
            <v>COMERCIAL ECCSA S A</v>
          </cell>
          <cell r="T322" t="str">
            <v/>
          </cell>
        </row>
        <row r="323">
          <cell r="C323" t="str">
            <v>T24C850001151</v>
          </cell>
          <cell r="D323" t="str">
            <v>A24C850001596</v>
          </cell>
          <cell r="E323">
            <v>5500000</v>
          </cell>
          <cell r="F323">
            <v>0</v>
          </cell>
          <cell r="G323" t="str">
            <v>Mobile Phone</v>
          </cell>
          <cell r="H323" t="str">
            <v>[3]HHP AON Q4 RETAIL CAMPAIGN 2024</v>
          </cell>
          <cell r="I323" t="str">
            <v>Completed</v>
          </cell>
          <cell r="J323" t="str">
            <v>m.lavanchy</v>
          </cell>
          <cell r="K323">
            <v>45566</v>
          </cell>
          <cell r="L323">
            <v>45657</v>
          </cell>
          <cell r="M323" t="str">
            <v>G1</v>
          </cell>
          <cell r="N323" t="str">
            <v>DIGITAL MEDIA</v>
          </cell>
          <cell r="O323" t="str">
            <v>A230</v>
          </cell>
          <cell r="P323" t="str">
            <v>SOCIAL ADS</v>
          </cell>
          <cell r="Q323" t="str">
            <v>2024</v>
          </cell>
          <cell r="R323" t="str">
            <v>L9YZ7E</v>
          </cell>
          <cell r="S323" t="str">
            <v>COMERCIAL ECCSA S A</v>
          </cell>
          <cell r="T323" t="str">
            <v/>
          </cell>
        </row>
        <row r="324">
          <cell r="C324" t="str">
            <v>T24C850001151</v>
          </cell>
          <cell r="D324" t="str">
            <v>A24C850001596</v>
          </cell>
          <cell r="E324">
            <v>3500000</v>
          </cell>
          <cell r="F324">
            <v>0</v>
          </cell>
          <cell r="G324" t="str">
            <v>Mobile Phone</v>
          </cell>
          <cell r="H324" t="str">
            <v>[3]HHP AON Q4 RETAIL CAMPAIGN 2024</v>
          </cell>
          <cell r="I324" t="str">
            <v>Completed</v>
          </cell>
          <cell r="J324" t="str">
            <v>m.lavanchy</v>
          </cell>
          <cell r="K324">
            <v>45566</v>
          </cell>
          <cell r="L324">
            <v>45657</v>
          </cell>
          <cell r="M324" t="str">
            <v>G1</v>
          </cell>
          <cell r="N324" t="str">
            <v>DIGITAL MEDIA</v>
          </cell>
          <cell r="O324" t="str">
            <v>A230</v>
          </cell>
          <cell r="P324" t="str">
            <v>SOCIAL ADS</v>
          </cell>
          <cell r="Q324" t="str">
            <v>2024</v>
          </cell>
          <cell r="R324" t="str">
            <v>L9YZ7E</v>
          </cell>
          <cell r="S324" t="str">
            <v>COMERCIAL ECCSA S A</v>
          </cell>
          <cell r="T324" t="str">
            <v/>
          </cell>
        </row>
        <row r="325">
          <cell r="C325" t="str">
            <v>T24C850001151</v>
          </cell>
          <cell r="D325" t="str">
            <v>A24C850001596</v>
          </cell>
          <cell r="E325">
            <v>5500000</v>
          </cell>
          <cell r="F325">
            <v>0</v>
          </cell>
          <cell r="G325" t="str">
            <v>Mobile Phone</v>
          </cell>
          <cell r="H325" t="str">
            <v>[3]HHP AON Q4 RETAIL CAMPAIGN 2024</v>
          </cell>
          <cell r="I325" t="str">
            <v>Completed</v>
          </cell>
          <cell r="J325" t="str">
            <v>m.lavanchy</v>
          </cell>
          <cell r="K325">
            <v>45566</v>
          </cell>
          <cell r="L325">
            <v>45657</v>
          </cell>
          <cell r="M325" t="str">
            <v>G1</v>
          </cell>
          <cell r="N325" t="str">
            <v>DIGITAL MEDIA</v>
          </cell>
          <cell r="O325" t="str">
            <v>A230</v>
          </cell>
          <cell r="P325" t="str">
            <v>SOCIAL ADS</v>
          </cell>
          <cell r="Q325" t="str">
            <v>2024</v>
          </cell>
          <cell r="R325" t="str">
            <v>L9YZ7E</v>
          </cell>
          <cell r="S325" t="str">
            <v>COMERCIAL ECCSA S A</v>
          </cell>
          <cell r="T325" t="str">
            <v/>
          </cell>
        </row>
        <row r="326">
          <cell r="C326" t="str">
            <v>T24C850001201</v>
          </cell>
          <cell r="D326" t="str">
            <v>A24C850001617</v>
          </cell>
          <cell r="E326">
            <v>1500000</v>
          </cell>
          <cell r="F326">
            <v>0</v>
          </cell>
          <cell r="G326" t="str">
            <v>Mobile Phone</v>
          </cell>
          <cell r="H326" t="str">
            <v>[3]SS WEEK HHP RETAILERS</v>
          </cell>
          <cell r="I326" t="str">
            <v>Completed</v>
          </cell>
          <cell r="J326" t="str">
            <v>m.lavanchy</v>
          </cell>
          <cell r="K326">
            <v>45577</v>
          </cell>
          <cell r="L326">
            <v>45657</v>
          </cell>
          <cell r="M326" t="str">
            <v>G1</v>
          </cell>
          <cell r="N326" t="str">
            <v>DIGITAL MEDIA</v>
          </cell>
          <cell r="O326" t="str">
            <v>A240</v>
          </cell>
          <cell r="P326" t="str">
            <v>SEARCH</v>
          </cell>
          <cell r="Q326" t="str">
            <v>2024</v>
          </cell>
          <cell r="R326" t="str">
            <v>L9YZ7E</v>
          </cell>
          <cell r="S326" t="str">
            <v>COMERCIAL ECCSA S A</v>
          </cell>
          <cell r="T326" t="str">
            <v/>
          </cell>
        </row>
        <row r="327">
          <cell r="C327" t="str">
            <v>T24C850001206</v>
          </cell>
          <cell r="D327" t="str">
            <v>A24C850001613</v>
          </cell>
          <cell r="E327">
            <v>2500000</v>
          </cell>
          <cell r="F327">
            <v>0</v>
          </cell>
          <cell r="G327" t="str">
            <v>Mobile Phone</v>
          </cell>
          <cell r="H327" t="str">
            <v>[3]HHP S24 FE LAUNCH CAMPAIGN RETAIL OCTOBER</v>
          </cell>
          <cell r="I327" t="str">
            <v>Completed</v>
          </cell>
          <cell r="J327" t="str">
            <v>m.lavanchy</v>
          </cell>
          <cell r="K327">
            <v>45577</v>
          </cell>
          <cell r="L327">
            <v>45657</v>
          </cell>
          <cell r="M327" t="str">
            <v>G1</v>
          </cell>
          <cell r="N327" t="str">
            <v>DIGITAL MEDIA</v>
          </cell>
          <cell r="O327" t="str">
            <v>A240</v>
          </cell>
          <cell r="P327" t="str">
            <v>SEARCH</v>
          </cell>
          <cell r="Q327" t="str">
            <v>2024</v>
          </cell>
          <cell r="R327" t="str">
            <v>L9YZ7E</v>
          </cell>
          <cell r="S327" t="str">
            <v>COMERCIAL ECCSA S A</v>
          </cell>
          <cell r="T327" t="str">
            <v/>
          </cell>
        </row>
        <row r="328">
          <cell r="C328" t="str">
            <v>T24C850001206</v>
          </cell>
          <cell r="D328" t="str">
            <v>A24C850001613</v>
          </cell>
          <cell r="E328">
            <v>3000000</v>
          </cell>
          <cell r="F328">
            <v>0</v>
          </cell>
          <cell r="G328" t="str">
            <v>Mobile Phone</v>
          </cell>
          <cell r="H328" t="str">
            <v>[3]HHP S24 FE LAUNCH CAMPAIGN RETAIL OCTOBER</v>
          </cell>
          <cell r="I328" t="str">
            <v>Completed</v>
          </cell>
          <cell r="J328" t="str">
            <v>m.lavanchy</v>
          </cell>
          <cell r="K328">
            <v>45577</v>
          </cell>
          <cell r="L328">
            <v>45657</v>
          </cell>
          <cell r="M328" t="str">
            <v>G1</v>
          </cell>
          <cell r="N328" t="str">
            <v>DIGITAL MEDIA</v>
          </cell>
          <cell r="O328" t="str">
            <v>A240</v>
          </cell>
          <cell r="P328" t="str">
            <v>SEARCH</v>
          </cell>
          <cell r="Q328" t="str">
            <v>2024</v>
          </cell>
          <cell r="R328" t="str">
            <v>L9YZ7E</v>
          </cell>
          <cell r="S328" t="str">
            <v>COMERCIAL ECCSA S A</v>
          </cell>
          <cell r="T328" t="str">
            <v/>
          </cell>
        </row>
        <row r="329">
          <cell r="C329" t="str">
            <v>T24C850001206</v>
          </cell>
          <cell r="D329" t="str">
            <v>A24C850001613</v>
          </cell>
          <cell r="E329">
            <v>1500000</v>
          </cell>
          <cell r="F329">
            <v>0</v>
          </cell>
          <cell r="G329" t="str">
            <v>Mobile Phone</v>
          </cell>
          <cell r="H329" t="str">
            <v>[3]HHP S24 FE LAUNCH CAMPAIGN RETAIL OCTOBER</v>
          </cell>
          <cell r="I329" t="str">
            <v>Completed</v>
          </cell>
          <cell r="J329" t="str">
            <v>m.lavanchy</v>
          </cell>
          <cell r="K329">
            <v>45577</v>
          </cell>
          <cell r="L329">
            <v>45657</v>
          </cell>
          <cell r="M329" t="str">
            <v>G1</v>
          </cell>
          <cell r="N329" t="str">
            <v>DIGITAL MEDIA</v>
          </cell>
          <cell r="O329" t="str">
            <v>A230</v>
          </cell>
          <cell r="P329" t="str">
            <v>SOCIAL ADS</v>
          </cell>
          <cell r="Q329" t="str">
            <v>2024</v>
          </cell>
          <cell r="R329" t="str">
            <v>L9YZ7E</v>
          </cell>
          <cell r="S329" t="str">
            <v>COMERCIAL ECCSA S A</v>
          </cell>
          <cell r="T329" t="str">
            <v/>
          </cell>
        </row>
        <row r="330">
          <cell r="C330" t="str">
            <v>T24C850001206</v>
          </cell>
          <cell r="D330" t="str">
            <v>A24C850001613</v>
          </cell>
          <cell r="E330">
            <v>3000000</v>
          </cell>
          <cell r="F330">
            <v>0</v>
          </cell>
          <cell r="G330" t="str">
            <v>Mobile Phone</v>
          </cell>
          <cell r="H330" t="str">
            <v>[3]HHP S24 FE LAUNCH CAMPAIGN RETAIL OCTOBER</v>
          </cell>
          <cell r="I330" t="str">
            <v>Completed</v>
          </cell>
          <cell r="J330" t="str">
            <v>m.lavanchy</v>
          </cell>
          <cell r="K330">
            <v>45577</v>
          </cell>
          <cell r="L330">
            <v>45657</v>
          </cell>
          <cell r="M330" t="str">
            <v>G1</v>
          </cell>
          <cell r="N330" t="str">
            <v>DIGITAL MEDIA</v>
          </cell>
          <cell r="O330" t="str">
            <v>A230</v>
          </cell>
          <cell r="P330" t="str">
            <v>SOCIAL ADS</v>
          </cell>
          <cell r="Q330" t="str">
            <v>2024</v>
          </cell>
          <cell r="R330" t="str">
            <v>L9YZ7E</v>
          </cell>
          <cell r="S330" t="str">
            <v>COMERCIAL ECCSA S A</v>
          </cell>
          <cell r="T330" t="str">
            <v/>
          </cell>
        </row>
        <row r="331">
          <cell r="C331" t="str">
            <v>T23C850001503</v>
          </cell>
          <cell r="D331" t="str">
            <v>A23C850002189</v>
          </cell>
          <cell r="E331">
            <v>-50000</v>
          </cell>
          <cell r="F331">
            <v>0</v>
          </cell>
          <cell r="G331" t="str">
            <v>Mobile Phone</v>
          </cell>
          <cell r="H331" t="str">
            <v>[6]WRBLS/RETAIL/Q4 CAMPAIGNS</v>
          </cell>
          <cell r="I331" t="str">
            <v>Closed</v>
          </cell>
          <cell r="J331" t="str">
            <v>j.albornoz</v>
          </cell>
          <cell r="K331">
            <v>45200</v>
          </cell>
          <cell r="L331">
            <v>45291</v>
          </cell>
          <cell r="M331" t="str">
            <v>G1</v>
          </cell>
          <cell r="N331" t="str">
            <v>DIGITAL MEDIA</v>
          </cell>
          <cell r="O331" t="str">
            <v>A240</v>
          </cell>
          <cell r="P331" t="str">
            <v>SEARCH</v>
          </cell>
          <cell r="Q331" t="str">
            <v>2024</v>
          </cell>
          <cell r="R331" t="str">
            <v>FA0DR4</v>
          </cell>
          <cell r="S331" t="str">
            <v>Comercializadora S.A.</v>
          </cell>
          <cell r="T331" t="str">
            <v/>
          </cell>
        </row>
        <row r="332">
          <cell r="C332" t="str">
            <v>T23C850001518</v>
          </cell>
          <cell r="D332" t="str">
            <v>A23C850002177</v>
          </cell>
          <cell r="E332">
            <v>-200000</v>
          </cell>
          <cell r="F332">
            <v>0</v>
          </cell>
          <cell r="G332" t="str">
            <v>Mobile Phone</v>
          </cell>
          <cell r="H332" t="str">
            <v>[6]TAB/RETAIL/Q4 CAMPAIGNS</v>
          </cell>
          <cell r="I332" t="str">
            <v>Closed</v>
          </cell>
          <cell r="J332" t="str">
            <v>j.albornoz</v>
          </cell>
          <cell r="K332">
            <v>45200</v>
          </cell>
          <cell r="L332">
            <v>45291</v>
          </cell>
          <cell r="M332" t="str">
            <v>G1</v>
          </cell>
          <cell r="N332" t="str">
            <v>DIGITAL MEDIA</v>
          </cell>
          <cell r="O332" t="str">
            <v>A240</v>
          </cell>
          <cell r="P332" t="str">
            <v>SEARCH</v>
          </cell>
          <cell r="Q332" t="str">
            <v>2024</v>
          </cell>
          <cell r="R332" t="str">
            <v>FA0DR4</v>
          </cell>
          <cell r="S332" t="str">
            <v>Comercializadora S.A.</v>
          </cell>
          <cell r="T332" t="str">
            <v/>
          </cell>
        </row>
        <row r="333">
          <cell r="C333" t="str">
            <v>T23C850001667</v>
          </cell>
          <cell r="D333" t="str">
            <v>A23C850002359</v>
          </cell>
          <cell r="E333">
            <v>-500000</v>
          </cell>
          <cell r="F333">
            <v>0</v>
          </cell>
          <cell r="G333" t="str">
            <v>Mobile Phone</v>
          </cell>
          <cell r="H333" t="str">
            <v>[5]RETAIL HHP S23 FE LAUNCH CAMPAIGN</v>
          </cell>
          <cell r="I333" t="str">
            <v>Closed</v>
          </cell>
          <cell r="J333" t="str">
            <v>sjara.mella</v>
          </cell>
          <cell r="K333">
            <v>45230</v>
          </cell>
          <cell r="L333">
            <v>45291</v>
          </cell>
          <cell r="M333" t="str">
            <v>G1</v>
          </cell>
          <cell r="N333" t="str">
            <v>DIGITAL MEDIA</v>
          </cell>
          <cell r="O333" t="str">
            <v>A250</v>
          </cell>
          <cell r="P333" t="str">
            <v>DISPLAY</v>
          </cell>
          <cell r="Q333" t="str">
            <v>2024</v>
          </cell>
          <cell r="R333" t="str">
            <v>FA0DR4</v>
          </cell>
          <cell r="S333" t="str">
            <v>Comercializadora S.A.</v>
          </cell>
          <cell r="T333" t="str">
            <v/>
          </cell>
        </row>
        <row r="334">
          <cell r="C334" t="str">
            <v>T23C850001667</v>
          </cell>
          <cell r="D334" t="str">
            <v>A23C850002359</v>
          </cell>
          <cell r="E334">
            <v>-500000</v>
          </cell>
          <cell r="F334">
            <v>0</v>
          </cell>
          <cell r="G334" t="str">
            <v>Mobile Phone</v>
          </cell>
          <cell r="H334" t="str">
            <v>[5]RETAIL HHP S23 FE LAUNCH CAMPAIGN</v>
          </cell>
          <cell r="I334" t="str">
            <v>Closed</v>
          </cell>
          <cell r="J334" t="str">
            <v>sjara.mella</v>
          </cell>
          <cell r="K334">
            <v>45230</v>
          </cell>
          <cell r="L334">
            <v>45291</v>
          </cell>
          <cell r="M334" t="str">
            <v>G1</v>
          </cell>
          <cell r="N334" t="str">
            <v>DIGITAL MEDIA</v>
          </cell>
          <cell r="O334" t="str">
            <v>A240</v>
          </cell>
          <cell r="P334" t="str">
            <v>SEARCH</v>
          </cell>
          <cell r="Q334" t="str">
            <v>2024</v>
          </cell>
          <cell r="R334" t="str">
            <v>FA0DR4</v>
          </cell>
          <cell r="S334" t="str">
            <v>Comercializadora S.A.</v>
          </cell>
          <cell r="T334" t="str">
            <v/>
          </cell>
        </row>
        <row r="335">
          <cell r="C335" t="str">
            <v>T23C850001667</v>
          </cell>
          <cell r="D335" t="str">
            <v>A23C850002359</v>
          </cell>
          <cell r="E335">
            <v>-500000</v>
          </cell>
          <cell r="F335">
            <v>0</v>
          </cell>
          <cell r="G335" t="str">
            <v>Mobile Phone</v>
          </cell>
          <cell r="H335" t="str">
            <v>[5]RETAIL HHP S23 FE LAUNCH CAMPAIGN</v>
          </cell>
          <cell r="I335" t="str">
            <v>Closed</v>
          </cell>
          <cell r="J335" t="str">
            <v>sjara.mella</v>
          </cell>
          <cell r="K335">
            <v>45230</v>
          </cell>
          <cell r="L335">
            <v>45291</v>
          </cell>
          <cell r="M335" t="str">
            <v>G1</v>
          </cell>
          <cell r="N335" t="str">
            <v>DIGITAL MEDIA</v>
          </cell>
          <cell r="O335" t="str">
            <v>A230</v>
          </cell>
          <cell r="P335" t="str">
            <v>SOCIAL ADS</v>
          </cell>
          <cell r="Q335" t="str">
            <v>2024</v>
          </cell>
          <cell r="R335" t="str">
            <v>FA0DR4</v>
          </cell>
          <cell r="S335" t="str">
            <v>Comercializadora S.A.</v>
          </cell>
          <cell r="T335" t="str">
            <v/>
          </cell>
        </row>
        <row r="336">
          <cell r="C336" t="str">
            <v>T24C850000099</v>
          </cell>
          <cell r="D336" t="str">
            <v>A24C850000150</v>
          </cell>
          <cell r="E336">
            <v>1000000</v>
          </cell>
          <cell r="F336">
            <v>0</v>
          </cell>
          <cell r="G336" t="str">
            <v>Mobile Phone</v>
          </cell>
          <cell r="H336" t="str">
            <v>[6]HHP EUREKA CAMPAIGN RETAILERS JANUARY</v>
          </cell>
          <cell r="I336" t="str">
            <v>Completed</v>
          </cell>
          <cell r="J336" t="str">
            <v>fernandez.r</v>
          </cell>
          <cell r="K336">
            <v>45303</v>
          </cell>
          <cell r="L336">
            <v>45382</v>
          </cell>
          <cell r="M336" t="str">
            <v>G1</v>
          </cell>
          <cell r="N336" t="str">
            <v>DIGITAL MEDIA</v>
          </cell>
          <cell r="O336" t="str">
            <v>A250</v>
          </cell>
          <cell r="P336" t="str">
            <v>DISPLAY</v>
          </cell>
          <cell r="Q336" t="str">
            <v>2024</v>
          </cell>
          <cell r="R336" t="str">
            <v>FA0DR4</v>
          </cell>
          <cell r="S336" t="str">
            <v>Comercializadora S.A.</v>
          </cell>
          <cell r="T336" t="str">
            <v/>
          </cell>
        </row>
        <row r="337">
          <cell r="C337" t="str">
            <v>T24C850000099</v>
          </cell>
          <cell r="D337" t="str">
            <v>A24C850000150</v>
          </cell>
          <cell r="E337">
            <v>1500000</v>
          </cell>
          <cell r="F337">
            <v>0</v>
          </cell>
          <cell r="G337" t="str">
            <v>Mobile Phone</v>
          </cell>
          <cell r="H337" t="str">
            <v>[6]HHP EUREKA CAMPAIGN RETAILERS JANUARY</v>
          </cell>
          <cell r="I337" t="str">
            <v>Completed</v>
          </cell>
          <cell r="J337" t="str">
            <v>fernandez.r</v>
          </cell>
          <cell r="K337">
            <v>45303</v>
          </cell>
          <cell r="L337">
            <v>45382</v>
          </cell>
          <cell r="M337" t="str">
            <v>G1</v>
          </cell>
          <cell r="N337" t="str">
            <v>DIGITAL MEDIA</v>
          </cell>
          <cell r="O337" t="str">
            <v>A230</v>
          </cell>
          <cell r="P337" t="str">
            <v>SOCIAL ADS</v>
          </cell>
          <cell r="Q337" t="str">
            <v>2024</v>
          </cell>
          <cell r="R337" t="str">
            <v>FA0DR4</v>
          </cell>
          <cell r="S337" t="str">
            <v>Comercializadora S.A.</v>
          </cell>
          <cell r="T337" t="str">
            <v/>
          </cell>
        </row>
        <row r="338">
          <cell r="C338" t="str">
            <v>T24C850000099</v>
          </cell>
          <cell r="D338" t="str">
            <v>A24C850000150</v>
          </cell>
          <cell r="E338">
            <v>1500000</v>
          </cell>
          <cell r="F338">
            <v>0</v>
          </cell>
          <cell r="G338" t="str">
            <v>Mobile Phone</v>
          </cell>
          <cell r="H338" t="str">
            <v>[6]HHP EUREKA CAMPAIGN RETAILERS JANUARY</v>
          </cell>
          <cell r="I338" t="str">
            <v>Completed</v>
          </cell>
          <cell r="J338" t="str">
            <v>fernandez.r</v>
          </cell>
          <cell r="K338">
            <v>45303</v>
          </cell>
          <cell r="L338">
            <v>45382</v>
          </cell>
          <cell r="M338" t="str">
            <v>G1</v>
          </cell>
          <cell r="N338" t="str">
            <v>DIGITAL MEDIA</v>
          </cell>
          <cell r="O338" t="str">
            <v>A240</v>
          </cell>
          <cell r="P338" t="str">
            <v>SEARCH</v>
          </cell>
          <cell r="Q338" t="str">
            <v>2024</v>
          </cell>
          <cell r="R338" t="str">
            <v>FA0DR4</v>
          </cell>
          <cell r="S338" t="str">
            <v>Comercializadora S.A.</v>
          </cell>
          <cell r="T338" t="str">
            <v/>
          </cell>
        </row>
        <row r="339">
          <cell r="C339" t="str">
            <v>T24C850000099</v>
          </cell>
          <cell r="D339" t="str">
            <v>A24C850000150</v>
          </cell>
          <cell r="E339">
            <v>0</v>
          </cell>
          <cell r="F339">
            <v>1000000</v>
          </cell>
          <cell r="G339" t="str">
            <v>Mobile Phone</v>
          </cell>
          <cell r="H339" t="str">
            <v>[6]HHP EUREKA CAMPAIGN RETAILERS JANUARY</v>
          </cell>
          <cell r="I339" t="str">
            <v>Completed</v>
          </cell>
          <cell r="J339" t="str">
            <v>fernandez.r</v>
          </cell>
          <cell r="K339">
            <v>45303</v>
          </cell>
          <cell r="L339">
            <v>45382</v>
          </cell>
          <cell r="M339" t="str">
            <v>G1</v>
          </cell>
          <cell r="N339" t="str">
            <v>DIGITAL MEDIA</v>
          </cell>
          <cell r="O339" t="str">
            <v>A240</v>
          </cell>
          <cell r="P339" t="str">
            <v>SEARCH</v>
          </cell>
          <cell r="Q339" t="str">
            <v>2024</v>
          </cell>
          <cell r="R339" t="str">
            <v>FA0DR4</v>
          </cell>
          <cell r="S339" t="str">
            <v>Comercializadora S.A.</v>
          </cell>
          <cell r="T339" t="str">
            <v/>
          </cell>
        </row>
        <row r="340">
          <cell r="C340" t="str">
            <v>T24C850001155</v>
          </cell>
          <cell r="D340" t="str">
            <v>A24C850001596</v>
          </cell>
          <cell r="E340">
            <v>1000000</v>
          </cell>
          <cell r="F340">
            <v>0</v>
          </cell>
          <cell r="G340" t="str">
            <v>Mobile Phone</v>
          </cell>
          <cell r="H340" t="str">
            <v>[7]HHP AON Q4 RETAIL CAMPAIGN 2024</v>
          </cell>
          <cell r="I340" t="str">
            <v>Completed</v>
          </cell>
          <cell r="J340" t="str">
            <v>m.lavanchy</v>
          </cell>
          <cell r="K340">
            <v>45566</v>
          </cell>
          <cell r="L340">
            <v>45657</v>
          </cell>
          <cell r="M340" t="str">
            <v>G1</v>
          </cell>
          <cell r="N340" t="str">
            <v>DIGITAL MEDIA</v>
          </cell>
          <cell r="O340" t="str">
            <v>A240</v>
          </cell>
          <cell r="P340" t="str">
            <v>SEARCH</v>
          </cell>
          <cell r="Q340" t="str">
            <v>2024</v>
          </cell>
          <cell r="R340" t="str">
            <v>FA0DR4</v>
          </cell>
          <cell r="S340" t="str">
            <v>Comercializadora S.A.</v>
          </cell>
          <cell r="T340" t="str">
            <v/>
          </cell>
        </row>
        <row r="341">
          <cell r="C341" t="str">
            <v>T24C850001155</v>
          </cell>
          <cell r="D341" t="str">
            <v>A24C850001596</v>
          </cell>
          <cell r="E341">
            <v>1000000</v>
          </cell>
          <cell r="F341">
            <v>0</v>
          </cell>
          <cell r="G341" t="str">
            <v>Mobile Phone</v>
          </cell>
          <cell r="H341" t="str">
            <v>[7]HHP AON Q4 RETAIL CAMPAIGN 2024</v>
          </cell>
          <cell r="I341" t="str">
            <v>Completed</v>
          </cell>
          <cell r="J341" t="str">
            <v>m.lavanchy</v>
          </cell>
          <cell r="K341">
            <v>45566</v>
          </cell>
          <cell r="L341">
            <v>45657</v>
          </cell>
          <cell r="M341" t="str">
            <v>G1</v>
          </cell>
          <cell r="N341" t="str">
            <v>DIGITAL MEDIA</v>
          </cell>
          <cell r="O341" t="str">
            <v>A240</v>
          </cell>
          <cell r="P341" t="str">
            <v>SEARCH</v>
          </cell>
          <cell r="Q341" t="str">
            <v>2024</v>
          </cell>
          <cell r="R341" t="str">
            <v>FA0DR4</v>
          </cell>
          <cell r="S341" t="str">
            <v>Comercializadora S.A.</v>
          </cell>
          <cell r="T341" t="str">
            <v/>
          </cell>
        </row>
        <row r="342">
          <cell r="C342" t="str">
            <v>T24C850001155</v>
          </cell>
          <cell r="D342" t="str">
            <v>A24C850001596</v>
          </cell>
          <cell r="E342">
            <v>1000000</v>
          </cell>
          <cell r="F342">
            <v>0</v>
          </cell>
          <cell r="G342" t="str">
            <v>Mobile Phone</v>
          </cell>
          <cell r="H342" t="str">
            <v>[7]HHP AON Q4 RETAIL CAMPAIGN 2024</v>
          </cell>
          <cell r="I342" t="str">
            <v>Completed</v>
          </cell>
          <cell r="J342" t="str">
            <v>m.lavanchy</v>
          </cell>
          <cell r="K342">
            <v>45566</v>
          </cell>
          <cell r="L342">
            <v>45657</v>
          </cell>
          <cell r="M342" t="str">
            <v>G1</v>
          </cell>
          <cell r="N342" t="str">
            <v>DIGITAL MEDIA</v>
          </cell>
          <cell r="O342" t="str">
            <v>A240</v>
          </cell>
          <cell r="P342" t="str">
            <v>SEARCH</v>
          </cell>
          <cell r="Q342" t="str">
            <v>2024</v>
          </cell>
          <cell r="R342" t="str">
            <v>FA0DR4</v>
          </cell>
          <cell r="S342" t="str">
            <v>Comercializadora S.A.</v>
          </cell>
          <cell r="T342" t="str">
            <v/>
          </cell>
        </row>
        <row r="343">
          <cell r="C343" t="str">
            <v>T24C850001155</v>
          </cell>
          <cell r="D343" t="str">
            <v>A24C850001596</v>
          </cell>
          <cell r="E343">
            <v>1000000</v>
          </cell>
          <cell r="F343">
            <v>0</v>
          </cell>
          <cell r="G343" t="str">
            <v>Mobile Phone</v>
          </cell>
          <cell r="H343" t="str">
            <v>[7]HHP AON Q4 RETAIL CAMPAIGN 2024</v>
          </cell>
          <cell r="I343" t="str">
            <v>Completed</v>
          </cell>
          <cell r="J343" t="str">
            <v>m.lavanchy</v>
          </cell>
          <cell r="K343">
            <v>45566</v>
          </cell>
          <cell r="L343">
            <v>45657</v>
          </cell>
          <cell r="M343" t="str">
            <v>G1</v>
          </cell>
          <cell r="N343" t="str">
            <v>DIGITAL MEDIA</v>
          </cell>
          <cell r="O343" t="str">
            <v>A230</v>
          </cell>
          <cell r="P343" t="str">
            <v>SOCIAL ADS</v>
          </cell>
          <cell r="Q343" t="str">
            <v>2024</v>
          </cell>
          <cell r="R343" t="str">
            <v>FA0DR4</v>
          </cell>
          <cell r="S343" t="str">
            <v>Comercializadora S.A.</v>
          </cell>
          <cell r="T343" t="str">
            <v/>
          </cell>
        </row>
        <row r="344">
          <cell r="C344" t="str">
            <v>T24C850001155</v>
          </cell>
          <cell r="D344" t="str">
            <v>A24C850001596</v>
          </cell>
          <cell r="E344">
            <v>1000000</v>
          </cell>
          <cell r="F344">
            <v>0</v>
          </cell>
          <cell r="G344" t="str">
            <v>Mobile Phone</v>
          </cell>
          <cell r="H344" t="str">
            <v>[7]HHP AON Q4 RETAIL CAMPAIGN 2024</v>
          </cell>
          <cell r="I344" t="str">
            <v>Completed</v>
          </cell>
          <cell r="J344" t="str">
            <v>m.lavanchy</v>
          </cell>
          <cell r="K344">
            <v>45566</v>
          </cell>
          <cell r="L344">
            <v>45657</v>
          </cell>
          <cell r="M344" t="str">
            <v>G1</v>
          </cell>
          <cell r="N344" t="str">
            <v>DIGITAL MEDIA</v>
          </cell>
          <cell r="O344" t="str">
            <v>A230</v>
          </cell>
          <cell r="P344" t="str">
            <v>SOCIAL ADS</v>
          </cell>
          <cell r="Q344" t="str">
            <v>2024</v>
          </cell>
          <cell r="R344" t="str">
            <v>FA0DR4</v>
          </cell>
          <cell r="S344" t="str">
            <v>Comercializadora S.A.</v>
          </cell>
          <cell r="T344" t="str">
            <v/>
          </cell>
        </row>
        <row r="345">
          <cell r="C345" t="str">
            <v>T24C850001155</v>
          </cell>
          <cell r="D345" t="str">
            <v>A24C850001596</v>
          </cell>
          <cell r="E345">
            <v>1000000</v>
          </cell>
          <cell r="F345">
            <v>0</v>
          </cell>
          <cell r="G345" t="str">
            <v>Mobile Phone</v>
          </cell>
          <cell r="H345" t="str">
            <v>[7]HHP AON Q4 RETAIL CAMPAIGN 2024</v>
          </cell>
          <cell r="I345" t="str">
            <v>Completed</v>
          </cell>
          <cell r="J345" t="str">
            <v>m.lavanchy</v>
          </cell>
          <cell r="K345">
            <v>45566</v>
          </cell>
          <cell r="L345">
            <v>45657</v>
          </cell>
          <cell r="M345" t="str">
            <v>G1</v>
          </cell>
          <cell r="N345" t="str">
            <v>DIGITAL MEDIA</v>
          </cell>
          <cell r="O345" t="str">
            <v>A230</v>
          </cell>
          <cell r="P345" t="str">
            <v>SOCIAL ADS</v>
          </cell>
          <cell r="Q345" t="str">
            <v>2024</v>
          </cell>
          <cell r="R345" t="str">
            <v>FA0DR4</v>
          </cell>
          <cell r="S345" t="str">
            <v>Comercializadora S.A.</v>
          </cell>
          <cell r="T345" t="str">
            <v/>
          </cell>
        </row>
        <row r="346">
          <cell r="C346" t="str">
            <v>T22C850002038</v>
          </cell>
          <cell r="D346" t="str">
            <v>A22C850003286</v>
          </cell>
          <cell r="E346">
            <v>-1000000</v>
          </cell>
          <cell r="F346">
            <v>0</v>
          </cell>
          <cell r="G346" t="str">
            <v>Mobile Phone</v>
          </cell>
          <cell r="H346" t="str">
            <v>[5]PLAN PROPOSAL NOVEMBER Q4 2022 TABLET RETAIL COMKTG</v>
          </cell>
          <cell r="I346" t="str">
            <v>Closed</v>
          </cell>
          <cell r="J346" t="str">
            <v>zapata.e</v>
          </cell>
          <cell r="K346">
            <v>44867</v>
          </cell>
          <cell r="L346">
            <v>44925</v>
          </cell>
          <cell r="M346" t="str">
            <v>G1</v>
          </cell>
          <cell r="N346" t="str">
            <v>DIGITAL MEDIA</v>
          </cell>
          <cell r="O346" t="str">
            <v>A240</v>
          </cell>
          <cell r="P346" t="str">
            <v>SEARCH</v>
          </cell>
          <cell r="Q346" t="str">
            <v>2024</v>
          </cell>
          <cell r="R346" t="str">
            <v>FA0D2Q</v>
          </cell>
          <cell r="S346" t="str">
            <v>Dist. de Industrias Nacionales S.A.</v>
          </cell>
          <cell r="T346" t="str">
            <v/>
          </cell>
        </row>
        <row r="347">
          <cell r="C347" t="str">
            <v>T22C850002038</v>
          </cell>
          <cell r="D347" t="str">
            <v>A22C850003286</v>
          </cell>
          <cell r="E347">
            <v>-1000000</v>
          </cell>
          <cell r="F347">
            <v>0</v>
          </cell>
          <cell r="G347" t="str">
            <v>Mobile Phone</v>
          </cell>
          <cell r="H347" t="str">
            <v>[5]PLAN PROPOSAL NOVEMBER Q4 2022 TABLET RETAIL COMKTG</v>
          </cell>
          <cell r="I347" t="str">
            <v>Closed</v>
          </cell>
          <cell r="J347" t="str">
            <v>zapata.e</v>
          </cell>
          <cell r="K347">
            <v>44867</v>
          </cell>
          <cell r="L347">
            <v>44925</v>
          </cell>
          <cell r="M347" t="str">
            <v>G1</v>
          </cell>
          <cell r="N347" t="str">
            <v>DIGITAL MEDIA</v>
          </cell>
          <cell r="O347" t="str">
            <v>A230</v>
          </cell>
          <cell r="P347" t="str">
            <v>SOCIAL ADS</v>
          </cell>
          <cell r="Q347" t="str">
            <v>2024</v>
          </cell>
          <cell r="R347" t="str">
            <v>FA0D2Q</v>
          </cell>
          <cell r="S347" t="str">
            <v>Dist. de Industrias Nacionales S.A.</v>
          </cell>
          <cell r="T347" t="str">
            <v/>
          </cell>
        </row>
        <row r="348">
          <cell r="C348" t="str">
            <v>T23C850000513</v>
          </cell>
          <cell r="D348" t="str">
            <v>A23C850000776</v>
          </cell>
          <cell r="E348">
            <v>-241974</v>
          </cell>
          <cell r="F348">
            <v>0</v>
          </cell>
          <cell r="G348" t="str">
            <v>Mobile Phone</v>
          </cell>
          <cell r="H348" t="str">
            <v>[6]2ND PLAN PROPOSAL MARCH 2023 HHP RETAIL COMKTG</v>
          </cell>
          <cell r="I348" t="str">
            <v>Closed</v>
          </cell>
          <cell r="J348" t="str">
            <v>zapata.e</v>
          </cell>
          <cell r="K348">
            <v>45012</v>
          </cell>
          <cell r="L348">
            <v>45104</v>
          </cell>
          <cell r="M348" t="str">
            <v>G1</v>
          </cell>
          <cell r="N348" t="str">
            <v>DIGITAL MEDIA</v>
          </cell>
          <cell r="O348" t="str">
            <v>A250</v>
          </cell>
          <cell r="P348" t="str">
            <v>DISPLAY</v>
          </cell>
          <cell r="Q348" t="str">
            <v>2024</v>
          </cell>
          <cell r="R348" t="str">
            <v>FA0D2Q</v>
          </cell>
          <cell r="S348" t="str">
            <v>Dist. de Industrias Nacionales S.A.</v>
          </cell>
          <cell r="T348" t="str">
            <v/>
          </cell>
        </row>
        <row r="349">
          <cell r="C349" t="str">
            <v>T23C850000671</v>
          </cell>
          <cell r="D349" t="str">
            <v>A23C850000925</v>
          </cell>
          <cell r="E349">
            <v>-79269</v>
          </cell>
          <cell r="F349">
            <v>0</v>
          </cell>
          <cell r="G349" t="str">
            <v>Mobile Phone</v>
          </cell>
          <cell r="H349" t="str">
            <v>[6]PLAN PROPOSAL APRIL 2023 TABLET RETAIL Q2_COMKTG</v>
          </cell>
          <cell r="I349" t="str">
            <v>Closed</v>
          </cell>
          <cell r="J349" t="str">
            <v>zapata.e</v>
          </cell>
          <cell r="K349">
            <v>45027</v>
          </cell>
          <cell r="L349">
            <v>45137</v>
          </cell>
          <cell r="M349" t="str">
            <v>G1</v>
          </cell>
          <cell r="N349" t="str">
            <v>DIGITAL MEDIA</v>
          </cell>
          <cell r="O349" t="str">
            <v>A240</v>
          </cell>
          <cell r="P349" t="str">
            <v>SEARCH</v>
          </cell>
          <cell r="Q349" t="str">
            <v>2024</v>
          </cell>
          <cell r="R349" t="str">
            <v>FA0D2Q</v>
          </cell>
          <cell r="S349" t="str">
            <v>Dist. de Industrias Nacionales S.A.</v>
          </cell>
          <cell r="T349" t="str">
            <v/>
          </cell>
        </row>
        <row r="350">
          <cell r="C350" t="str">
            <v>T23C850000671</v>
          </cell>
          <cell r="D350" t="str">
            <v>A23C850000925</v>
          </cell>
          <cell r="E350">
            <v>-522554</v>
          </cell>
          <cell r="F350">
            <v>0</v>
          </cell>
          <cell r="G350" t="str">
            <v>Mobile Phone</v>
          </cell>
          <cell r="H350" t="str">
            <v>[6]PLAN PROPOSAL APRIL 2023 TABLET RETAIL Q2_COMKTG</v>
          </cell>
          <cell r="I350" t="str">
            <v>Closed</v>
          </cell>
          <cell r="J350" t="str">
            <v>zapata.e</v>
          </cell>
          <cell r="K350">
            <v>45027</v>
          </cell>
          <cell r="L350">
            <v>45137</v>
          </cell>
          <cell r="M350" t="str">
            <v>G1</v>
          </cell>
          <cell r="N350" t="str">
            <v>DIGITAL MEDIA</v>
          </cell>
          <cell r="O350" t="str">
            <v>A230</v>
          </cell>
          <cell r="P350" t="str">
            <v>SOCIAL ADS</v>
          </cell>
          <cell r="Q350" t="str">
            <v>2024</v>
          </cell>
          <cell r="R350" t="str">
            <v>FA0D2Q</v>
          </cell>
          <cell r="S350" t="str">
            <v>Dist. de Industrias Nacionales S.A.</v>
          </cell>
          <cell r="T350" t="str">
            <v/>
          </cell>
        </row>
        <row r="351">
          <cell r="C351" t="str">
            <v>T23C850001502</v>
          </cell>
          <cell r="D351" t="str">
            <v>A23C850002189</v>
          </cell>
          <cell r="E351">
            <v>0</v>
          </cell>
          <cell r="F351">
            <v>750000</v>
          </cell>
          <cell r="G351" t="str">
            <v>Mobile Phone</v>
          </cell>
          <cell r="H351" t="str">
            <v>[5]WRBLS/RETAIL/Q4 CAMPAIGNS</v>
          </cell>
          <cell r="I351" t="str">
            <v>Completed</v>
          </cell>
          <cell r="J351" t="str">
            <v>j.albornoz</v>
          </cell>
          <cell r="K351">
            <v>45200</v>
          </cell>
          <cell r="L351">
            <v>45291</v>
          </cell>
          <cell r="M351" t="str">
            <v>G1</v>
          </cell>
          <cell r="N351" t="str">
            <v>DIGITAL MEDIA</v>
          </cell>
          <cell r="O351" t="str">
            <v>A240</v>
          </cell>
          <cell r="P351" t="str">
            <v>SEARCH</v>
          </cell>
          <cell r="Q351" t="str">
            <v>2024</v>
          </cell>
          <cell r="R351" t="str">
            <v>FA0D2Q</v>
          </cell>
          <cell r="S351" t="str">
            <v>Dist. de Industrias Nacionales S.A.</v>
          </cell>
          <cell r="T351" t="str">
            <v/>
          </cell>
        </row>
        <row r="352">
          <cell r="C352" t="str">
            <v>T23C850001510</v>
          </cell>
          <cell r="D352" t="str">
            <v>A23C850002181</v>
          </cell>
          <cell r="E352">
            <v>0</v>
          </cell>
          <cell r="F352">
            <v>1090000</v>
          </cell>
          <cell r="G352" t="str">
            <v>Computer</v>
          </cell>
          <cell r="H352" t="str">
            <v>[5]NPC/RETAIL/Q4 CAMPAIGNS</v>
          </cell>
          <cell r="I352" t="str">
            <v>Completed</v>
          </cell>
          <cell r="J352" t="str">
            <v>j.albornoz</v>
          </cell>
          <cell r="K352">
            <v>45200</v>
          </cell>
          <cell r="L352">
            <v>45291</v>
          </cell>
          <cell r="M352" t="str">
            <v>C3</v>
          </cell>
          <cell r="N352" t="str">
            <v>DIGITAL MEDIA</v>
          </cell>
          <cell r="O352" t="str">
            <v>A240</v>
          </cell>
          <cell r="P352" t="str">
            <v>SEARCH</v>
          </cell>
          <cell r="Q352" t="str">
            <v>2024</v>
          </cell>
          <cell r="R352" t="str">
            <v>FA0D2Q</v>
          </cell>
          <cell r="S352" t="str">
            <v>Dist. de Industrias Nacionales S.A.</v>
          </cell>
          <cell r="T352" t="str">
            <v/>
          </cell>
        </row>
        <row r="353">
          <cell r="C353" t="str">
            <v>T23C850001660</v>
          </cell>
          <cell r="D353" t="str">
            <v>A23C850002352</v>
          </cell>
          <cell r="E353">
            <v>0</v>
          </cell>
          <cell r="F353">
            <v>1000000</v>
          </cell>
          <cell r="G353" t="str">
            <v>Mobile Phone</v>
          </cell>
          <cell r="H353" t="str">
            <v>[4]RETAIL HHP AON NOVEMBER RETAIL A</v>
          </cell>
          <cell r="I353" t="str">
            <v>Closed</v>
          </cell>
          <cell r="J353" t="str">
            <v>sjara.mella</v>
          </cell>
          <cell r="K353">
            <v>45237</v>
          </cell>
          <cell r="L353">
            <v>45291</v>
          </cell>
          <cell r="M353" t="str">
            <v>G1</v>
          </cell>
          <cell r="N353" t="str">
            <v>DIGITAL MEDIA</v>
          </cell>
          <cell r="O353" t="str">
            <v>A240</v>
          </cell>
          <cell r="P353" t="str">
            <v>SEARCH</v>
          </cell>
          <cell r="Q353" t="str">
            <v>2024</v>
          </cell>
          <cell r="R353" t="str">
            <v>FA0D2Q</v>
          </cell>
          <cell r="S353" t="str">
            <v>Dist. de Industrias Nacionales S.A.</v>
          </cell>
          <cell r="T353" t="str">
            <v/>
          </cell>
        </row>
        <row r="354">
          <cell r="C354" t="str">
            <v>T23C850001660</v>
          </cell>
          <cell r="D354" t="str">
            <v>A23C850002352</v>
          </cell>
          <cell r="E354">
            <v>0</v>
          </cell>
          <cell r="F354">
            <v>1000000</v>
          </cell>
          <cell r="G354" t="str">
            <v>Mobile Phone</v>
          </cell>
          <cell r="H354" t="str">
            <v>[4]RETAIL HHP AON NOVEMBER RETAIL A</v>
          </cell>
          <cell r="I354" t="str">
            <v>Closed</v>
          </cell>
          <cell r="J354" t="str">
            <v>sjara.mella</v>
          </cell>
          <cell r="K354">
            <v>45237</v>
          </cell>
          <cell r="L354">
            <v>45291</v>
          </cell>
          <cell r="M354" t="str">
            <v>G1</v>
          </cell>
          <cell r="N354" t="str">
            <v>DIGITAL MEDIA</v>
          </cell>
          <cell r="O354" t="str">
            <v>A230</v>
          </cell>
          <cell r="P354" t="str">
            <v>SOCIAL ADS</v>
          </cell>
          <cell r="Q354" t="str">
            <v>2024</v>
          </cell>
          <cell r="R354" t="str">
            <v>FA0D2Q</v>
          </cell>
          <cell r="S354" t="str">
            <v>Dist. de Industrias Nacionales S.A.</v>
          </cell>
          <cell r="T354" t="str">
            <v/>
          </cell>
        </row>
        <row r="355">
          <cell r="C355" t="str">
            <v>T23C850001666</v>
          </cell>
          <cell r="D355" t="str">
            <v>A23C850002359</v>
          </cell>
          <cell r="E355">
            <v>0</v>
          </cell>
          <cell r="F355">
            <v>750000</v>
          </cell>
          <cell r="G355" t="str">
            <v>Mobile Phone</v>
          </cell>
          <cell r="H355" t="str">
            <v>[4]RETAIL HHP S23 FE LAUNCH CAMPAIGN</v>
          </cell>
          <cell r="I355" t="str">
            <v>Closed</v>
          </cell>
          <cell r="J355" t="str">
            <v>sjara.mella</v>
          </cell>
          <cell r="K355">
            <v>45230</v>
          </cell>
          <cell r="L355">
            <v>45291</v>
          </cell>
          <cell r="M355" t="str">
            <v>G1</v>
          </cell>
          <cell r="N355" t="str">
            <v>DIGITAL MEDIA</v>
          </cell>
          <cell r="O355" t="str">
            <v>A240</v>
          </cell>
          <cell r="P355" t="str">
            <v>SEARCH</v>
          </cell>
          <cell r="Q355" t="str">
            <v>2024</v>
          </cell>
          <cell r="R355" t="str">
            <v>FA0D2Q</v>
          </cell>
          <cell r="S355" t="str">
            <v>Dist. de Industrias Nacionales S.A.</v>
          </cell>
          <cell r="T355" t="str">
            <v/>
          </cell>
        </row>
        <row r="356">
          <cell r="C356" t="str">
            <v>T23C850001666</v>
          </cell>
          <cell r="D356" t="str">
            <v>A23C850002359</v>
          </cell>
          <cell r="E356">
            <v>0</v>
          </cell>
          <cell r="F356">
            <v>750000</v>
          </cell>
          <cell r="G356" t="str">
            <v>Mobile Phone</v>
          </cell>
          <cell r="H356" t="str">
            <v>[4]RETAIL HHP S23 FE LAUNCH CAMPAIGN</v>
          </cell>
          <cell r="I356" t="str">
            <v>Closed</v>
          </cell>
          <cell r="J356" t="str">
            <v>sjara.mella</v>
          </cell>
          <cell r="K356">
            <v>45230</v>
          </cell>
          <cell r="L356">
            <v>45291</v>
          </cell>
          <cell r="M356" t="str">
            <v>G1</v>
          </cell>
          <cell r="N356" t="str">
            <v>DIGITAL MEDIA</v>
          </cell>
          <cell r="O356" t="str">
            <v>A230</v>
          </cell>
          <cell r="P356" t="str">
            <v>SOCIAL ADS</v>
          </cell>
          <cell r="Q356" t="str">
            <v>2024</v>
          </cell>
          <cell r="R356" t="str">
            <v>FA0D2Q</v>
          </cell>
          <cell r="S356" t="str">
            <v>Dist. de Industrias Nacionales S.A.</v>
          </cell>
          <cell r="T356" t="str">
            <v/>
          </cell>
        </row>
        <row r="357">
          <cell r="C357" t="str">
            <v>T24C850000097</v>
          </cell>
          <cell r="D357" t="str">
            <v>A24C850000150</v>
          </cell>
          <cell r="E357">
            <v>1000000</v>
          </cell>
          <cell r="F357">
            <v>0</v>
          </cell>
          <cell r="G357" t="str">
            <v>Mobile Phone</v>
          </cell>
          <cell r="H357" t="str">
            <v>[4]HHP EUREKA CAMPAIGN RETAILERS JANUARY</v>
          </cell>
          <cell r="I357" t="str">
            <v>Closed</v>
          </cell>
          <cell r="J357" t="str">
            <v>fernandez.r</v>
          </cell>
          <cell r="K357">
            <v>45303</v>
          </cell>
          <cell r="L357">
            <v>45382</v>
          </cell>
          <cell r="M357" t="str">
            <v>G1</v>
          </cell>
          <cell r="N357" t="str">
            <v>DIGITAL MEDIA</v>
          </cell>
          <cell r="O357" t="str">
            <v>A250</v>
          </cell>
          <cell r="P357" t="str">
            <v>DISPLAY</v>
          </cell>
          <cell r="Q357" t="str">
            <v>2024</v>
          </cell>
          <cell r="R357" t="str">
            <v>FA0D2Q</v>
          </cell>
          <cell r="S357" t="str">
            <v>Dist. de Industrias Nacionales S.A.</v>
          </cell>
          <cell r="T357" t="str">
            <v/>
          </cell>
        </row>
        <row r="358">
          <cell r="C358" t="str">
            <v>T24C850000097</v>
          </cell>
          <cell r="D358" t="str">
            <v>A24C850000150</v>
          </cell>
          <cell r="E358">
            <v>1000000</v>
          </cell>
          <cell r="F358">
            <v>0</v>
          </cell>
          <cell r="G358" t="str">
            <v>Mobile Phone</v>
          </cell>
          <cell r="H358" t="str">
            <v>[4]HHP EUREKA CAMPAIGN RETAILERS JANUARY</v>
          </cell>
          <cell r="I358" t="str">
            <v>Closed</v>
          </cell>
          <cell r="J358" t="str">
            <v>fernandez.r</v>
          </cell>
          <cell r="K358">
            <v>45303</v>
          </cell>
          <cell r="L358">
            <v>45382</v>
          </cell>
          <cell r="M358" t="str">
            <v>G1</v>
          </cell>
          <cell r="N358" t="str">
            <v>DIGITAL MEDIA</v>
          </cell>
          <cell r="O358" t="str">
            <v>A250</v>
          </cell>
          <cell r="P358" t="str">
            <v>DISPLAY</v>
          </cell>
          <cell r="Q358" t="str">
            <v>2024</v>
          </cell>
          <cell r="R358" t="str">
            <v>FA0D2Q</v>
          </cell>
          <cell r="S358" t="str">
            <v>Dist. de Industrias Nacionales S.A.</v>
          </cell>
          <cell r="T358" t="str">
            <v/>
          </cell>
        </row>
        <row r="359">
          <cell r="C359" t="str">
            <v>T24C850000097</v>
          </cell>
          <cell r="D359" t="str">
            <v>A24C850000150</v>
          </cell>
          <cell r="E359">
            <v>0</v>
          </cell>
          <cell r="F359">
            <v>574365</v>
          </cell>
          <cell r="G359" t="str">
            <v>Mobile Phone</v>
          </cell>
          <cell r="H359" t="str">
            <v>[4]HHP EUREKA CAMPAIGN RETAILERS JANUARY</v>
          </cell>
          <cell r="I359" t="str">
            <v>Closed</v>
          </cell>
          <cell r="J359" t="str">
            <v>fernandez.r</v>
          </cell>
          <cell r="K359">
            <v>45303</v>
          </cell>
          <cell r="L359">
            <v>45382</v>
          </cell>
          <cell r="M359" t="str">
            <v>G1</v>
          </cell>
          <cell r="N359" t="str">
            <v>DIGITAL MEDIA</v>
          </cell>
          <cell r="O359" t="str">
            <v>A250</v>
          </cell>
          <cell r="P359" t="str">
            <v>DISPLAY</v>
          </cell>
          <cell r="Q359" t="str">
            <v>2024</v>
          </cell>
          <cell r="R359" t="str">
            <v>FA0D2Q</v>
          </cell>
          <cell r="S359" t="str">
            <v>Dist. de Industrias Nacionales S.A.</v>
          </cell>
          <cell r="T359" t="str">
            <v/>
          </cell>
        </row>
        <row r="360">
          <cell r="C360" t="str">
            <v>T24C850000097</v>
          </cell>
          <cell r="D360" t="str">
            <v>A24C850000150</v>
          </cell>
          <cell r="E360">
            <v>1425635</v>
          </cell>
          <cell r="F360">
            <v>0</v>
          </cell>
          <cell r="G360" t="str">
            <v>Mobile Phone</v>
          </cell>
          <cell r="H360" t="str">
            <v>[4]HHP EUREKA CAMPAIGN RETAILERS JANUARY</v>
          </cell>
          <cell r="I360" t="str">
            <v>Closed</v>
          </cell>
          <cell r="J360" t="str">
            <v>fernandez.r</v>
          </cell>
          <cell r="K360">
            <v>45303</v>
          </cell>
          <cell r="L360">
            <v>45382</v>
          </cell>
          <cell r="M360" t="str">
            <v>G1</v>
          </cell>
          <cell r="N360" t="str">
            <v>DIGITAL MEDIA</v>
          </cell>
          <cell r="O360" t="str">
            <v>A250</v>
          </cell>
          <cell r="P360" t="str">
            <v>DISPLAY</v>
          </cell>
          <cell r="Q360" t="str">
            <v>2024</v>
          </cell>
          <cell r="R360" t="str">
            <v>FA0D2Q</v>
          </cell>
          <cell r="S360" t="str">
            <v>Dist. de Industrias Nacionales S.A.</v>
          </cell>
          <cell r="T360" t="str">
            <v/>
          </cell>
        </row>
        <row r="361">
          <cell r="C361" t="str">
            <v>T24C850000097</v>
          </cell>
          <cell r="D361" t="str">
            <v>A24C850000150</v>
          </cell>
          <cell r="E361">
            <v>1500000</v>
          </cell>
          <cell r="F361">
            <v>0</v>
          </cell>
          <cell r="G361" t="str">
            <v>Mobile Phone</v>
          </cell>
          <cell r="H361" t="str">
            <v>[4]HHP EUREKA CAMPAIGN RETAILERS JANUARY</v>
          </cell>
          <cell r="I361" t="str">
            <v>Closed</v>
          </cell>
          <cell r="J361" t="str">
            <v>fernandez.r</v>
          </cell>
          <cell r="K361">
            <v>45303</v>
          </cell>
          <cell r="L361">
            <v>45382</v>
          </cell>
          <cell r="M361" t="str">
            <v>G1</v>
          </cell>
          <cell r="N361" t="str">
            <v>DIGITAL MEDIA</v>
          </cell>
          <cell r="O361" t="str">
            <v>A230</v>
          </cell>
          <cell r="P361" t="str">
            <v>SOCIAL ADS</v>
          </cell>
          <cell r="Q361" t="str">
            <v>2024</v>
          </cell>
          <cell r="R361" t="str">
            <v>FA0D2Q</v>
          </cell>
          <cell r="S361" t="str">
            <v>Dist. de Industrias Nacionales S.A.</v>
          </cell>
          <cell r="T361" t="str">
            <v/>
          </cell>
        </row>
        <row r="362">
          <cell r="C362" t="str">
            <v>T24C850000097</v>
          </cell>
          <cell r="D362" t="str">
            <v>A24C850000150</v>
          </cell>
          <cell r="E362">
            <v>1500000</v>
          </cell>
          <cell r="F362">
            <v>0</v>
          </cell>
          <cell r="G362" t="str">
            <v>Mobile Phone</v>
          </cell>
          <cell r="H362" t="str">
            <v>[4]HHP EUREKA CAMPAIGN RETAILERS JANUARY</v>
          </cell>
          <cell r="I362" t="str">
            <v>Closed</v>
          </cell>
          <cell r="J362" t="str">
            <v>fernandez.r</v>
          </cell>
          <cell r="K362">
            <v>45303</v>
          </cell>
          <cell r="L362">
            <v>45382</v>
          </cell>
          <cell r="M362" t="str">
            <v>G1</v>
          </cell>
          <cell r="N362" t="str">
            <v>DIGITAL MEDIA</v>
          </cell>
          <cell r="O362" t="str">
            <v>A230</v>
          </cell>
          <cell r="P362" t="str">
            <v>SOCIAL ADS</v>
          </cell>
          <cell r="Q362" t="str">
            <v>2024</v>
          </cell>
          <cell r="R362" t="str">
            <v>FA0D2Q</v>
          </cell>
          <cell r="S362" t="str">
            <v>Dist. de Industrias Nacionales S.A.</v>
          </cell>
          <cell r="T362" t="str">
            <v/>
          </cell>
        </row>
        <row r="363">
          <cell r="C363" t="str">
            <v>T24C850000097</v>
          </cell>
          <cell r="D363" t="str">
            <v>A24C850000150</v>
          </cell>
          <cell r="E363">
            <v>0</v>
          </cell>
          <cell r="F363">
            <v>3000000</v>
          </cell>
          <cell r="G363" t="str">
            <v>Mobile Phone</v>
          </cell>
          <cell r="H363" t="str">
            <v>[4]HHP EUREKA CAMPAIGN RETAILERS JANUARY</v>
          </cell>
          <cell r="I363" t="str">
            <v>Closed</v>
          </cell>
          <cell r="J363" t="str">
            <v>fernandez.r</v>
          </cell>
          <cell r="K363">
            <v>45303</v>
          </cell>
          <cell r="L363">
            <v>45382</v>
          </cell>
          <cell r="M363" t="str">
            <v>G1</v>
          </cell>
          <cell r="N363" t="str">
            <v>DIGITAL MEDIA</v>
          </cell>
          <cell r="O363" t="str">
            <v>A230</v>
          </cell>
          <cell r="P363" t="str">
            <v>SOCIAL ADS</v>
          </cell>
          <cell r="Q363" t="str">
            <v>2024</v>
          </cell>
          <cell r="R363" t="str">
            <v>FA0D2Q</v>
          </cell>
          <cell r="S363" t="str">
            <v>Dist. de Industrias Nacionales S.A.</v>
          </cell>
          <cell r="T363" t="str">
            <v/>
          </cell>
        </row>
        <row r="364">
          <cell r="C364" t="str">
            <v>T24C850000097</v>
          </cell>
          <cell r="D364" t="str">
            <v>A24C850000150</v>
          </cell>
          <cell r="E364">
            <v>2000000</v>
          </cell>
          <cell r="F364">
            <v>0</v>
          </cell>
          <cell r="G364" t="str">
            <v>Mobile Phone</v>
          </cell>
          <cell r="H364" t="str">
            <v>[4]HHP EUREKA CAMPAIGN RETAILERS JANUARY</v>
          </cell>
          <cell r="I364" t="str">
            <v>Closed</v>
          </cell>
          <cell r="J364" t="str">
            <v>fernandez.r</v>
          </cell>
          <cell r="K364">
            <v>45303</v>
          </cell>
          <cell r="L364">
            <v>45382</v>
          </cell>
          <cell r="M364" t="str">
            <v>G1</v>
          </cell>
          <cell r="N364" t="str">
            <v>DIGITAL MEDIA</v>
          </cell>
          <cell r="O364" t="str">
            <v>A240</v>
          </cell>
          <cell r="P364" t="str">
            <v>SEARCH</v>
          </cell>
          <cell r="Q364" t="str">
            <v>2024</v>
          </cell>
          <cell r="R364" t="str">
            <v>FA0D2Q</v>
          </cell>
          <cell r="S364" t="str">
            <v>Dist. de Industrias Nacionales S.A.</v>
          </cell>
          <cell r="T364" t="str">
            <v/>
          </cell>
        </row>
        <row r="365">
          <cell r="C365" t="str">
            <v>T24C850000097</v>
          </cell>
          <cell r="D365" t="str">
            <v>A24C850000150</v>
          </cell>
          <cell r="E365">
            <v>2000000</v>
          </cell>
          <cell r="F365">
            <v>0</v>
          </cell>
          <cell r="G365" t="str">
            <v>Mobile Phone</v>
          </cell>
          <cell r="H365" t="str">
            <v>[4]HHP EUREKA CAMPAIGN RETAILERS JANUARY</v>
          </cell>
          <cell r="I365" t="str">
            <v>Closed</v>
          </cell>
          <cell r="J365" t="str">
            <v>fernandez.r</v>
          </cell>
          <cell r="K365">
            <v>45303</v>
          </cell>
          <cell r="L365">
            <v>45382</v>
          </cell>
          <cell r="M365" t="str">
            <v>G1</v>
          </cell>
          <cell r="N365" t="str">
            <v>DIGITAL MEDIA</v>
          </cell>
          <cell r="O365" t="str">
            <v>A240</v>
          </cell>
          <cell r="P365" t="str">
            <v>SEARCH</v>
          </cell>
          <cell r="Q365" t="str">
            <v>2024</v>
          </cell>
          <cell r="R365" t="str">
            <v>FA0D2Q</v>
          </cell>
          <cell r="S365" t="str">
            <v>Dist. de Industrias Nacionales S.A.</v>
          </cell>
          <cell r="T365" t="str">
            <v/>
          </cell>
        </row>
        <row r="366">
          <cell r="C366" t="str">
            <v>T24C850000097</v>
          </cell>
          <cell r="D366" t="str">
            <v>A24C850000150</v>
          </cell>
          <cell r="E366">
            <v>0</v>
          </cell>
          <cell r="F366">
            <v>4000000</v>
          </cell>
          <cell r="G366" t="str">
            <v>Mobile Phone</v>
          </cell>
          <cell r="H366" t="str">
            <v>[4]HHP EUREKA CAMPAIGN RETAILERS JANUARY</v>
          </cell>
          <cell r="I366" t="str">
            <v>Closed</v>
          </cell>
          <cell r="J366" t="str">
            <v>fernandez.r</v>
          </cell>
          <cell r="K366">
            <v>45303</v>
          </cell>
          <cell r="L366">
            <v>45382</v>
          </cell>
          <cell r="M366" t="str">
            <v>G1</v>
          </cell>
          <cell r="N366" t="str">
            <v>DIGITAL MEDIA</v>
          </cell>
          <cell r="O366" t="str">
            <v>A240</v>
          </cell>
          <cell r="P366" t="str">
            <v>SEARCH</v>
          </cell>
          <cell r="Q366" t="str">
            <v>2024</v>
          </cell>
          <cell r="R366" t="str">
            <v>FA0D2Q</v>
          </cell>
          <cell r="S366" t="str">
            <v>Dist. de Industrias Nacionales S.A.</v>
          </cell>
          <cell r="T366" t="str">
            <v/>
          </cell>
        </row>
        <row r="367">
          <cell r="C367" t="str">
            <v>T24C850000159</v>
          </cell>
          <cell r="D367" t="str">
            <v>A24C850000287</v>
          </cell>
          <cell r="E367">
            <v>13664172</v>
          </cell>
          <cell r="F367">
            <v>0</v>
          </cell>
          <cell r="G367" t="str">
            <v>Mobile Phone</v>
          </cell>
          <cell r="H367" t="str">
            <v>[6]PUMI APPROVED/HHP/V.GONZALEZG/PURCHASE RDU EUREKA</v>
          </cell>
          <cell r="I367" t="str">
            <v>Closed</v>
          </cell>
          <cell r="J367" t="str">
            <v>y.malave</v>
          </cell>
          <cell r="K367">
            <v>45313</v>
          </cell>
          <cell r="L367">
            <v>45382</v>
          </cell>
          <cell r="M367" t="str">
            <v>G1</v>
          </cell>
          <cell r="N367" t="str">
            <v>RETAIL</v>
          </cell>
          <cell r="O367" t="str">
            <v>B120</v>
          </cell>
          <cell r="P367" t="str">
            <v>SHELF MERCHANDISING</v>
          </cell>
          <cell r="Q367" t="str">
            <v>2024</v>
          </cell>
          <cell r="R367" t="str">
            <v>FA0D2Q</v>
          </cell>
          <cell r="S367" t="str">
            <v>Dist. de Industrias Nacionales S.A.</v>
          </cell>
          <cell r="T367" t="str">
            <v/>
          </cell>
        </row>
        <row r="368">
          <cell r="C368" t="str">
            <v>T24C850000159</v>
          </cell>
          <cell r="D368" t="str">
            <v>A24C850000287</v>
          </cell>
          <cell r="E368">
            <v>0</v>
          </cell>
          <cell r="F368">
            <v>13664172</v>
          </cell>
          <cell r="G368" t="str">
            <v>Mobile Phone</v>
          </cell>
          <cell r="H368" t="str">
            <v>[6]PUMI APPROVED/HHP/V.GONZALEZG/PURCHASE RDU EUREKA</v>
          </cell>
          <cell r="I368" t="str">
            <v>Closed</v>
          </cell>
          <cell r="J368" t="str">
            <v>y.malave</v>
          </cell>
          <cell r="K368">
            <v>45313</v>
          </cell>
          <cell r="L368">
            <v>45382</v>
          </cell>
          <cell r="M368" t="str">
            <v>G1</v>
          </cell>
          <cell r="N368" t="str">
            <v>RETAIL</v>
          </cell>
          <cell r="O368" t="str">
            <v>B120</v>
          </cell>
          <cell r="P368" t="str">
            <v>SHELF MERCHANDISING</v>
          </cell>
          <cell r="Q368" t="str">
            <v>2024</v>
          </cell>
          <cell r="R368" t="str">
            <v>FA0D2Q</v>
          </cell>
          <cell r="S368" t="str">
            <v>Dist. de Industrias Nacionales S.A.</v>
          </cell>
          <cell r="T368" t="str">
            <v/>
          </cell>
        </row>
        <row r="369">
          <cell r="C369" t="str">
            <v>T24C850000562</v>
          </cell>
          <cell r="D369" t="str">
            <v>A24C850000791</v>
          </cell>
          <cell r="E369">
            <v>2400789</v>
          </cell>
          <cell r="F369">
            <v>0</v>
          </cell>
          <cell r="G369" t="str">
            <v>Mobile Phone</v>
          </cell>
          <cell r="H369" t="str">
            <v>[2]PP_TAB_Q2_ABRIL</v>
          </cell>
          <cell r="I369" t="str">
            <v>Completed</v>
          </cell>
          <cell r="J369" t="str">
            <v>j.albornoz</v>
          </cell>
          <cell r="K369">
            <v>45408</v>
          </cell>
          <cell r="L369">
            <v>45473</v>
          </cell>
          <cell r="M369" t="str">
            <v>G1</v>
          </cell>
          <cell r="N369" t="str">
            <v>DIGITAL MEDIA</v>
          </cell>
          <cell r="O369" t="str">
            <v>A240</v>
          </cell>
          <cell r="P369" t="str">
            <v>SEARCH</v>
          </cell>
          <cell r="Q369" t="str">
            <v>2024</v>
          </cell>
          <cell r="R369" t="str">
            <v>FA0D2Q</v>
          </cell>
          <cell r="S369" t="str">
            <v>Dist. de Industrias Nacionales S.A.</v>
          </cell>
          <cell r="T369" t="str">
            <v/>
          </cell>
        </row>
        <row r="370">
          <cell r="C370" t="str">
            <v>T23C850001216</v>
          </cell>
          <cell r="D370" t="str">
            <v>A23C850001827</v>
          </cell>
          <cell r="E370">
            <v>-117047</v>
          </cell>
          <cell r="F370">
            <v>0</v>
          </cell>
          <cell r="G370" t="str">
            <v>Mobile Phone</v>
          </cell>
          <cell r="H370" t="str">
            <v>[8]ALWAYS ON HHP RETAIL.COM CAMPAIGN AUGUST</v>
          </cell>
          <cell r="I370" t="str">
            <v>Closed</v>
          </cell>
          <cell r="J370" t="str">
            <v>sjara.mella</v>
          </cell>
          <cell r="K370">
            <v>45146</v>
          </cell>
          <cell r="L370">
            <v>45230</v>
          </cell>
          <cell r="M370" t="str">
            <v>G1</v>
          </cell>
          <cell r="N370" t="str">
            <v>DIGITAL MEDIA</v>
          </cell>
          <cell r="O370" t="str">
            <v>A250</v>
          </cell>
          <cell r="P370" t="str">
            <v>DISPLAY</v>
          </cell>
          <cell r="Q370" t="str">
            <v>2024</v>
          </cell>
          <cell r="R370" t="str">
            <v>FA1BOE</v>
          </cell>
          <cell r="S370" t="str">
            <v>DUTY FREE TC SA</v>
          </cell>
          <cell r="T370" t="str">
            <v/>
          </cell>
        </row>
        <row r="371">
          <cell r="C371" t="str">
            <v>T23C850001662</v>
          </cell>
          <cell r="D371" t="str">
            <v>A23C850002352</v>
          </cell>
          <cell r="E371">
            <v>0</v>
          </cell>
          <cell r="F371">
            <v>500000</v>
          </cell>
          <cell r="G371" t="str">
            <v>Mobile Phone</v>
          </cell>
          <cell r="H371" t="str">
            <v>[6]RETAIL HHP AON NOVEMBER RETAIL A</v>
          </cell>
          <cell r="I371" t="str">
            <v>Closed</v>
          </cell>
          <cell r="J371" t="str">
            <v>sjara.mella</v>
          </cell>
          <cell r="K371">
            <v>45237</v>
          </cell>
          <cell r="L371">
            <v>45291</v>
          </cell>
          <cell r="M371" t="str">
            <v>G1</v>
          </cell>
          <cell r="N371" t="str">
            <v>DIGITAL MEDIA</v>
          </cell>
          <cell r="O371" t="str">
            <v>A240</v>
          </cell>
          <cell r="P371" t="str">
            <v>SEARCH</v>
          </cell>
          <cell r="Q371" t="str">
            <v>2024</v>
          </cell>
          <cell r="R371" t="str">
            <v>FA1BOE</v>
          </cell>
          <cell r="S371" t="str">
            <v>DUTY FREE TC SA</v>
          </cell>
          <cell r="T371" t="str">
            <v/>
          </cell>
        </row>
        <row r="372">
          <cell r="C372" t="str">
            <v>T23C850001662</v>
          </cell>
          <cell r="D372" t="str">
            <v>A23C850002352</v>
          </cell>
          <cell r="E372">
            <v>0</v>
          </cell>
          <cell r="F372">
            <v>500000</v>
          </cell>
          <cell r="G372" t="str">
            <v>Mobile Phone</v>
          </cell>
          <cell r="H372" t="str">
            <v>[6]RETAIL HHP AON NOVEMBER RETAIL A</v>
          </cell>
          <cell r="I372" t="str">
            <v>Closed</v>
          </cell>
          <cell r="J372" t="str">
            <v>sjara.mella</v>
          </cell>
          <cell r="K372">
            <v>45237</v>
          </cell>
          <cell r="L372">
            <v>45291</v>
          </cell>
          <cell r="M372" t="str">
            <v>G1</v>
          </cell>
          <cell r="N372" t="str">
            <v>DIGITAL MEDIA</v>
          </cell>
          <cell r="O372" t="str">
            <v>A230</v>
          </cell>
          <cell r="P372" t="str">
            <v>SOCIAL ADS</v>
          </cell>
          <cell r="Q372" t="str">
            <v>2024</v>
          </cell>
          <cell r="R372" t="str">
            <v>FA1BOE</v>
          </cell>
          <cell r="S372" t="str">
            <v>DUTY FREE TC SA</v>
          </cell>
          <cell r="T372" t="str">
            <v/>
          </cell>
        </row>
        <row r="373">
          <cell r="C373" t="str">
            <v>T23C850001670</v>
          </cell>
          <cell r="D373" t="str">
            <v>A23C850002359</v>
          </cell>
          <cell r="E373">
            <v>0</v>
          </cell>
          <cell r="F373">
            <v>500000</v>
          </cell>
          <cell r="G373" t="str">
            <v>Mobile Phone</v>
          </cell>
          <cell r="H373" t="str">
            <v>[8]RETAIL HHP S23 FE LAUNCH CAMPAIGN</v>
          </cell>
          <cell r="I373" t="str">
            <v>Closed</v>
          </cell>
          <cell r="J373" t="str">
            <v>sjara.mella</v>
          </cell>
          <cell r="K373">
            <v>45230</v>
          </cell>
          <cell r="L373">
            <v>45291</v>
          </cell>
          <cell r="M373" t="str">
            <v>G1</v>
          </cell>
          <cell r="N373" t="str">
            <v>DIGITAL MEDIA</v>
          </cell>
          <cell r="O373" t="str">
            <v>A250</v>
          </cell>
          <cell r="P373" t="str">
            <v>DISPLAY</v>
          </cell>
          <cell r="Q373" t="str">
            <v>2024</v>
          </cell>
          <cell r="R373" t="str">
            <v>FA1BOE</v>
          </cell>
          <cell r="S373" t="str">
            <v>DUTY FREE TC SA</v>
          </cell>
          <cell r="T373" t="str">
            <v/>
          </cell>
        </row>
        <row r="374">
          <cell r="C374" t="str">
            <v>T23C850001670</v>
          </cell>
          <cell r="D374" t="str">
            <v>A23C850002359</v>
          </cell>
          <cell r="E374">
            <v>0</v>
          </cell>
          <cell r="F374">
            <v>500000</v>
          </cell>
          <cell r="G374" t="str">
            <v>Mobile Phone</v>
          </cell>
          <cell r="H374" t="str">
            <v>[8]RETAIL HHP S23 FE LAUNCH CAMPAIGN</v>
          </cell>
          <cell r="I374" t="str">
            <v>Closed</v>
          </cell>
          <cell r="J374" t="str">
            <v>sjara.mella</v>
          </cell>
          <cell r="K374">
            <v>45230</v>
          </cell>
          <cell r="L374">
            <v>45291</v>
          </cell>
          <cell r="M374" t="str">
            <v>G1</v>
          </cell>
          <cell r="N374" t="str">
            <v>DIGITAL MEDIA</v>
          </cell>
          <cell r="O374" t="str">
            <v>A240</v>
          </cell>
          <cell r="P374" t="str">
            <v>SEARCH</v>
          </cell>
          <cell r="Q374" t="str">
            <v>2024</v>
          </cell>
          <cell r="R374" t="str">
            <v>FA1BOE</v>
          </cell>
          <cell r="S374" t="str">
            <v>DUTY FREE TC SA</v>
          </cell>
          <cell r="T374" t="str">
            <v/>
          </cell>
        </row>
        <row r="375">
          <cell r="C375" t="str">
            <v>T23C850001670</v>
          </cell>
          <cell r="D375" t="str">
            <v>A23C850002359</v>
          </cell>
          <cell r="E375">
            <v>0</v>
          </cell>
          <cell r="F375">
            <v>500000</v>
          </cell>
          <cell r="G375" t="str">
            <v>Mobile Phone</v>
          </cell>
          <cell r="H375" t="str">
            <v>[8]RETAIL HHP S23 FE LAUNCH CAMPAIGN</v>
          </cell>
          <cell r="I375" t="str">
            <v>Closed</v>
          </cell>
          <cell r="J375" t="str">
            <v>sjara.mella</v>
          </cell>
          <cell r="K375">
            <v>45230</v>
          </cell>
          <cell r="L375">
            <v>45291</v>
          </cell>
          <cell r="M375" t="str">
            <v>G1</v>
          </cell>
          <cell r="N375" t="str">
            <v>DIGITAL MEDIA</v>
          </cell>
          <cell r="O375" t="str">
            <v>A230</v>
          </cell>
          <cell r="P375" t="str">
            <v>SOCIAL ADS</v>
          </cell>
          <cell r="Q375" t="str">
            <v>2024</v>
          </cell>
          <cell r="R375" t="str">
            <v>FA1BOE</v>
          </cell>
          <cell r="S375" t="str">
            <v>DUTY FREE TC SA</v>
          </cell>
          <cell r="T375" t="str">
            <v/>
          </cell>
        </row>
        <row r="376">
          <cell r="C376" t="str">
            <v>T24C850000102</v>
          </cell>
          <cell r="D376" t="str">
            <v>A24C850000150</v>
          </cell>
          <cell r="E376">
            <v>3000000</v>
          </cell>
          <cell r="F376">
            <v>0</v>
          </cell>
          <cell r="G376" t="str">
            <v>Mobile Phone</v>
          </cell>
          <cell r="H376" t="str">
            <v>[9]HHP EUREKA CAMPAIGN RETAILERS JANUARY</v>
          </cell>
          <cell r="I376" t="str">
            <v>Closed</v>
          </cell>
          <cell r="J376" t="str">
            <v>fernandez.r</v>
          </cell>
          <cell r="K376">
            <v>45303</v>
          </cell>
          <cell r="L376">
            <v>45382</v>
          </cell>
          <cell r="M376" t="str">
            <v>G1</v>
          </cell>
          <cell r="N376" t="str">
            <v>DIGITAL MEDIA</v>
          </cell>
          <cell r="O376" t="str">
            <v>A250</v>
          </cell>
          <cell r="P376" t="str">
            <v>DISPLAY</v>
          </cell>
          <cell r="Q376" t="str">
            <v>2024</v>
          </cell>
          <cell r="R376" t="str">
            <v>FA1BOE</v>
          </cell>
          <cell r="S376" t="str">
            <v>DUTY FREE TC SA</v>
          </cell>
          <cell r="T376" t="str">
            <v/>
          </cell>
        </row>
        <row r="377">
          <cell r="C377" t="str">
            <v>T24C850000102</v>
          </cell>
          <cell r="D377" t="str">
            <v>A24C850000150</v>
          </cell>
          <cell r="E377">
            <v>2000000</v>
          </cell>
          <cell r="F377">
            <v>0</v>
          </cell>
          <cell r="G377" t="str">
            <v>Mobile Phone</v>
          </cell>
          <cell r="H377" t="str">
            <v>[9]HHP EUREKA CAMPAIGN RETAILERS JANUARY</v>
          </cell>
          <cell r="I377" t="str">
            <v>Closed</v>
          </cell>
          <cell r="J377" t="str">
            <v>fernandez.r</v>
          </cell>
          <cell r="K377">
            <v>45303</v>
          </cell>
          <cell r="L377">
            <v>45382</v>
          </cell>
          <cell r="M377" t="str">
            <v>G1</v>
          </cell>
          <cell r="N377" t="str">
            <v>DIGITAL MEDIA</v>
          </cell>
          <cell r="O377" t="str">
            <v>A250</v>
          </cell>
          <cell r="P377" t="str">
            <v>DISPLAY</v>
          </cell>
          <cell r="Q377" t="str">
            <v>2024</v>
          </cell>
          <cell r="R377" t="str">
            <v>FA1BOE</v>
          </cell>
          <cell r="S377" t="str">
            <v>DUTY FREE TC SA</v>
          </cell>
          <cell r="T377" t="str">
            <v/>
          </cell>
        </row>
        <row r="378">
          <cell r="C378" t="str">
            <v>T24C850000102</v>
          </cell>
          <cell r="D378" t="str">
            <v>A24C850000150</v>
          </cell>
          <cell r="E378">
            <v>0</v>
          </cell>
          <cell r="F378">
            <v>4958807</v>
          </cell>
          <cell r="G378" t="str">
            <v>Mobile Phone</v>
          </cell>
          <cell r="H378" t="str">
            <v>[9]HHP EUREKA CAMPAIGN RETAILERS JANUARY</v>
          </cell>
          <cell r="I378" t="str">
            <v>Closed</v>
          </cell>
          <cell r="J378" t="str">
            <v>fernandez.r</v>
          </cell>
          <cell r="K378">
            <v>45303</v>
          </cell>
          <cell r="L378">
            <v>45382</v>
          </cell>
          <cell r="M378" t="str">
            <v>G1</v>
          </cell>
          <cell r="N378" t="str">
            <v>DIGITAL MEDIA</v>
          </cell>
          <cell r="O378" t="str">
            <v>A250</v>
          </cell>
          <cell r="P378" t="str">
            <v>DISPLAY</v>
          </cell>
          <cell r="Q378" t="str">
            <v>2024</v>
          </cell>
          <cell r="R378" t="str">
            <v>FA1BOE</v>
          </cell>
          <cell r="S378" t="str">
            <v>DUTY FREE TC SA</v>
          </cell>
          <cell r="T378" t="str">
            <v/>
          </cell>
        </row>
        <row r="379">
          <cell r="C379" t="str">
            <v>T24C850000102</v>
          </cell>
          <cell r="D379" t="str">
            <v>A24C850000150</v>
          </cell>
          <cell r="E379">
            <v>-41193</v>
          </cell>
          <cell r="F379">
            <v>0</v>
          </cell>
          <cell r="G379" t="str">
            <v>Mobile Phone</v>
          </cell>
          <cell r="H379" t="str">
            <v>[9]HHP EUREKA CAMPAIGN RETAILERS JANUARY</v>
          </cell>
          <cell r="I379" t="str">
            <v>Closed</v>
          </cell>
          <cell r="J379" t="str">
            <v>fernandez.r</v>
          </cell>
          <cell r="K379">
            <v>45303</v>
          </cell>
          <cell r="L379">
            <v>45382</v>
          </cell>
          <cell r="M379" t="str">
            <v>G1</v>
          </cell>
          <cell r="N379" t="str">
            <v>DIGITAL MEDIA</v>
          </cell>
          <cell r="O379" t="str">
            <v>A250</v>
          </cell>
          <cell r="P379" t="str">
            <v>DISPLAY</v>
          </cell>
          <cell r="Q379" t="str">
            <v>2024</v>
          </cell>
          <cell r="R379" t="str">
            <v>FA1BOE</v>
          </cell>
          <cell r="S379" t="str">
            <v>DUTY FREE TC SA</v>
          </cell>
          <cell r="T379" t="str">
            <v/>
          </cell>
        </row>
        <row r="380">
          <cell r="C380" t="str">
            <v>T24C850000102</v>
          </cell>
          <cell r="D380" t="str">
            <v>A24C850000150</v>
          </cell>
          <cell r="E380">
            <v>4000000</v>
          </cell>
          <cell r="F380">
            <v>0</v>
          </cell>
          <cell r="G380" t="str">
            <v>Mobile Phone</v>
          </cell>
          <cell r="H380" t="str">
            <v>[9]HHP EUREKA CAMPAIGN RETAILERS JANUARY</v>
          </cell>
          <cell r="I380" t="str">
            <v>Closed</v>
          </cell>
          <cell r="J380" t="str">
            <v>fernandez.r</v>
          </cell>
          <cell r="K380">
            <v>45303</v>
          </cell>
          <cell r="L380">
            <v>45382</v>
          </cell>
          <cell r="M380" t="str">
            <v>G1</v>
          </cell>
          <cell r="N380" t="str">
            <v>DIGITAL MEDIA</v>
          </cell>
          <cell r="O380" t="str">
            <v>A230</v>
          </cell>
          <cell r="P380" t="str">
            <v>SOCIAL ADS</v>
          </cell>
          <cell r="Q380" t="str">
            <v>2024</v>
          </cell>
          <cell r="R380" t="str">
            <v>FA1BOE</v>
          </cell>
          <cell r="S380" t="str">
            <v>DUTY FREE TC SA</v>
          </cell>
          <cell r="T380" t="str">
            <v/>
          </cell>
        </row>
        <row r="381">
          <cell r="C381" t="str">
            <v>T24C850000102</v>
          </cell>
          <cell r="D381" t="str">
            <v>A24C850000150</v>
          </cell>
          <cell r="E381">
            <v>3000000</v>
          </cell>
          <cell r="F381">
            <v>0</v>
          </cell>
          <cell r="G381" t="str">
            <v>Mobile Phone</v>
          </cell>
          <cell r="H381" t="str">
            <v>[9]HHP EUREKA CAMPAIGN RETAILERS JANUARY</v>
          </cell>
          <cell r="I381" t="str">
            <v>Closed</v>
          </cell>
          <cell r="J381" t="str">
            <v>fernandez.r</v>
          </cell>
          <cell r="K381">
            <v>45303</v>
          </cell>
          <cell r="L381">
            <v>45382</v>
          </cell>
          <cell r="M381" t="str">
            <v>G1</v>
          </cell>
          <cell r="N381" t="str">
            <v>DIGITAL MEDIA</v>
          </cell>
          <cell r="O381" t="str">
            <v>A230</v>
          </cell>
          <cell r="P381" t="str">
            <v>SOCIAL ADS</v>
          </cell>
          <cell r="Q381" t="str">
            <v>2024</v>
          </cell>
          <cell r="R381" t="str">
            <v>FA1BOE</v>
          </cell>
          <cell r="S381" t="str">
            <v>DUTY FREE TC SA</v>
          </cell>
          <cell r="T381" t="str">
            <v/>
          </cell>
        </row>
        <row r="382">
          <cell r="C382" t="str">
            <v>T24C850000102</v>
          </cell>
          <cell r="D382" t="str">
            <v>A24C850000150</v>
          </cell>
          <cell r="E382">
            <v>0</v>
          </cell>
          <cell r="F382">
            <v>7000000</v>
          </cell>
          <cell r="G382" t="str">
            <v>Mobile Phone</v>
          </cell>
          <cell r="H382" t="str">
            <v>[9]HHP EUREKA CAMPAIGN RETAILERS JANUARY</v>
          </cell>
          <cell r="I382" t="str">
            <v>Closed</v>
          </cell>
          <cell r="J382" t="str">
            <v>fernandez.r</v>
          </cell>
          <cell r="K382">
            <v>45303</v>
          </cell>
          <cell r="L382">
            <v>45382</v>
          </cell>
          <cell r="M382" t="str">
            <v>G1</v>
          </cell>
          <cell r="N382" t="str">
            <v>DIGITAL MEDIA</v>
          </cell>
          <cell r="O382" t="str">
            <v>A230</v>
          </cell>
          <cell r="P382" t="str">
            <v>SOCIAL ADS</v>
          </cell>
          <cell r="Q382" t="str">
            <v>2024</v>
          </cell>
          <cell r="R382" t="str">
            <v>FA1BOE</v>
          </cell>
          <cell r="S382" t="str">
            <v>DUTY FREE TC SA</v>
          </cell>
          <cell r="T382" t="str">
            <v/>
          </cell>
        </row>
        <row r="383">
          <cell r="C383" t="str">
            <v>T24C850000102</v>
          </cell>
          <cell r="D383" t="str">
            <v>A24C850000150</v>
          </cell>
          <cell r="E383">
            <v>3000000</v>
          </cell>
          <cell r="F383">
            <v>0</v>
          </cell>
          <cell r="G383" t="str">
            <v>Mobile Phone</v>
          </cell>
          <cell r="H383" t="str">
            <v>[9]HHP EUREKA CAMPAIGN RETAILERS JANUARY</v>
          </cell>
          <cell r="I383" t="str">
            <v>Closed</v>
          </cell>
          <cell r="J383" t="str">
            <v>fernandez.r</v>
          </cell>
          <cell r="K383">
            <v>45303</v>
          </cell>
          <cell r="L383">
            <v>45382</v>
          </cell>
          <cell r="M383" t="str">
            <v>G1</v>
          </cell>
          <cell r="N383" t="str">
            <v>DIGITAL MEDIA</v>
          </cell>
          <cell r="O383" t="str">
            <v>A240</v>
          </cell>
          <cell r="P383" t="str">
            <v>SEARCH</v>
          </cell>
          <cell r="Q383" t="str">
            <v>2024</v>
          </cell>
          <cell r="R383" t="str">
            <v>FA1BOE</v>
          </cell>
          <cell r="S383" t="str">
            <v>DUTY FREE TC SA</v>
          </cell>
          <cell r="T383" t="str">
            <v/>
          </cell>
        </row>
        <row r="384">
          <cell r="C384" t="str">
            <v>T24C850000102</v>
          </cell>
          <cell r="D384" t="str">
            <v>A24C850000150</v>
          </cell>
          <cell r="E384">
            <v>2000000</v>
          </cell>
          <cell r="F384">
            <v>0</v>
          </cell>
          <cell r="G384" t="str">
            <v>Mobile Phone</v>
          </cell>
          <cell r="H384" t="str">
            <v>[9]HHP EUREKA CAMPAIGN RETAILERS JANUARY</v>
          </cell>
          <cell r="I384" t="str">
            <v>Closed</v>
          </cell>
          <cell r="J384" t="str">
            <v>fernandez.r</v>
          </cell>
          <cell r="K384">
            <v>45303</v>
          </cell>
          <cell r="L384">
            <v>45382</v>
          </cell>
          <cell r="M384" t="str">
            <v>G1</v>
          </cell>
          <cell r="N384" t="str">
            <v>DIGITAL MEDIA</v>
          </cell>
          <cell r="O384" t="str">
            <v>A240</v>
          </cell>
          <cell r="P384" t="str">
            <v>SEARCH</v>
          </cell>
          <cell r="Q384" t="str">
            <v>2024</v>
          </cell>
          <cell r="R384" t="str">
            <v>FA1BOE</v>
          </cell>
          <cell r="S384" t="str">
            <v>DUTY FREE TC SA</v>
          </cell>
          <cell r="T384" t="str">
            <v/>
          </cell>
        </row>
        <row r="385">
          <cell r="C385" t="str">
            <v>T24C850000102</v>
          </cell>
          <cell r="D385" t="str">
            <v>A24C850000150</v>
          </cell>
          <cell r="E385">
            <v>0</v>
          </cell>
          <cell r="F385">
            <v>5000000</v>
          </cell>
          <cell r="G385" t="str">
            <v>Mobile Phone</v>
          </cell>
          <cell r="H385" t="str">
            <v>[9]HHP EUREKA CAMPAIGN RETAILERS JANUARY</v>
          </cell>
          <cell r="I385" t="str">
            <v>Closed</v>
          </cell>
          <cell r="J385" t="str">
            <v>fernandez.r</v>
          </cell>
          <cell r="K385">
            <v>45303</v>
          </cell>
          <cell r="L385">
            <v>45382</v>
          </cell>
          <cell r="M385" t="str">
            <v>G1</v>
          </cell>
          <cell r="N385" t="str">
            <v>DIGITAL MEDIA</v>
          </cell>
          <cell r="O385" t="str">
            <v>A240</v>
          </cell>
          <cell r="P385" t="str">
            <v>SEARCH</v>
          </cell>
          <cell r="Q385" t="str">
            <v>2024</v>
          </cell>
          <cell r="R385" t="str">
            <v>FA1BOE</v>
          </cell>
          <cell r="S385" t="str">
            <v>DUTY FREE TC SA</v>
          </cell>
          <cell r="T385" t="str">
            <v/>
          </cell>
        </row>
        <row r="386">
          <cell r="C386" t="str">
            <v>T24C850000280</v>
          </cell>
          <cell r="D386" t="str">
            <v>A24C850000391</v>
          </cell>
          <cell r="E386">
            <v>2000000</v>
          </cell>
          <cell r="F386">
            <v>0</v>
          </cell>
          <cell r="G386" t="str">
            <v>Mobile Phone</v>
          </cell>
          <cell r="H386" t="str">
            <v>[2]HHP EUREKA CAMPAIGN RETAILERS FEBRUARY - INCREASE VERSION</v>
          </cell>
          <cell r="I386" t="str">
            <v>Completed</v>
          </cell>
          <cell r="J386" t="str">
            <v>fernandez.r</v>
          </cell>
          <cell r="K386">
            <v>45338</v>
          </cell>
          <cell r="L386">
            <v>45443</v>
          </cell>
          <cell r="M386" t="str">
            <v>G1</v>
          </cell>
          <cell r="N386" t="str">
            <v>DIGITAL MEDIA</v>
          </cell>
          <cell r="O386" t="str">
            <v>A250</v>
          </cell>
          <cell r="P386" t="str">
            <v>DISPLAY</v>
          </cell>
          <cell r="Q386" t="str">
            <v>2024</v>
          </cell>
          <cell r="R386" t="str">
            <v>FA1BOE</v>
          </cell>
          <cell r="S386" t="str">
            <v>DUTY FREE TC SA</v>
          </cell>
          <cell r="T386" t="str">
            <v/>
          </cell>
        </row>
        <row r="387">
          <cell r="C387" t="str">
            <v>T24C850000280</v>
          </cell>
          <cell r="D387" t="str">
            <v>A24C850000391</v>
          </cell>
          <cell r="E387">
            <v>3000000</v>
          </cell>
          <cell r="F387">
            <v>0</v>
          </cell>
          <cell r="G387" t="str">
            <v>Mobile Phone</v>
          </cell>
          <cell r="H387" t="str">
            <v>[2]HHP EUREKA CAMPAIGN RETAILERS FEBRUARY - INCREASE VERSION</v>
          </cell>
          <cell r="I387" t="str">
            <v>Completed</v>
          </cell>
          <cell r="J387" t="str">
            <v>fernandez.r</v>
          </cell>
          <cell r="K387">
            <v>45338</v>
          </cell>
          <cell r="L387">
            <v>45443</v>
          </cell>
          <cell r="M387" t="str">
            <v>G1</v>
          </cell>
          <cell r="N387" t="str">
            <v>DIGITAL MEDIA</v>
          </cell>
          <cell r="O387" t="str">
            <v>A230</v>
          </cell>
          <cell r="P387" t="str">
            <v>SOCIAL ADS</v>
          </cell>
          <cell r="Q387" t="str">
            <v>2024</v>
          </cell>
          <cell r="R387" t="str">
            <v>FA1BOE</v>
          </cell>
          <cell r="S387" t="str">
            <v>DUTY FREE TC SA</v>
          </cell>
          <cell r="T387" t="str">
            <v/>
          </cell>
        </row>
        <row r="388">
          <cell r="C388" t="str">
            <v>T24C850000280</v>
          </cell>
          <cell r="D388" t="str">
            <v>A24C850000391</v>
          </cell>
          <cell r="E388">
            <v>0</v>
          </cell>
          <cell r="F388">
            <v>2000000</v>
          </cell>
          <cell r="G388" t="str">
            <v>Mobile Phone</v>
          </cell>
          <cell r="H388" t="str">
            <v>[2]HHP EUREKA CAMPAIGN RETAILERS FEBRUARY - INCREASE VERSION</v>
          </cell>
          <cell r="I388" t="str">
            <v>Completed</v>
          </cell>
          <cell r="J388" t="str">
            <v>fernandez.r</v>
          </cell>
          <cell r="K388">
            <v>45338</v>
          </cell>
          <cell r="L388">
            <v>45443</v>
          </cell>
          <cell r="M388" t="str">
            <v>G1</v>
          </cell>
          <cell r="N388" t="str">
            <v>DIGITAL MEDIA</v>
          </cell>
          <cell r="O388" t="str">
            <v>A230</v>
          </cell>
          <cell r="P388" t="str">
            <v>SOCIAL ADS</v>
          </cell>
          <cell r="Q388" t="str">
            <v>2024</v>
          </cell>
          <cell r="R388" t="str">
            <v>FA1BOE</v>
          </cell>
          <cell r="S388" t="str">
            <v>DUTY FREE TC SA</v>
          </cell>
          <cell r="T388" t="str">
            <v/>
          </cell>
        </row>
        <row r="389">
          <cell r="C389" t="str">
            <v>T24C850000280</v>
          </cell>
          <cell r="D389" t="str">
            <v>A24C850000391</v>
          </cell>
          <cell r="E389">
            <v>7000000</v>
          </cell>
          <cell r="F389">
            <v>0</v>
          </cell>
          <cell r="G389" t="str">
            <v>Mobile Phone</v>
          </cell>
          <cell r="H389" t="str">
            <v>[2]HHP EUREKA CAMPAIGN RETAILERS FEBRUARY - INCREASE VERSION</v>
          </cell>
          <cell r="I389" t="str">
            <v>Completed</v>
          </cell>
          <cell r="J389" t="str">
            <v>fernandez.r</v>
          </cell>
          <cell r="K389">
            <v>45338</v>
          </cell>
          <cell r="L389">
            <v>45443</v>
          </cell>
          <cell r="M389" t="str">
            <v>G1</v>
          </cell>
          <cell r="N389" t="str">
            <v>DIGITAL MEDIA</v>
          </cell>
          <cell r="O389" t="str">
            <v>A240</v>
          </cell>
          <cell r="P389" t="str">
            <v>SEARCH</v>
          </cell>
          <cell r="Q389" t="str">
            <v>2024</v>
          </cell>
          <cell r="R389" t="str">
            <v>FA1BOE</v>
          </cell>
          <cell r="S389" t="str">
            <v>DUTY FREE TC SA</v>
          </cell>
          <cell r="T389" t="str">
            <v/>
          </cell>
        </row>
        <row r="390">
          <cell r="C390" t="str">
            <v>T24C850000280</v>
          </cell>
          <cell r="D390" t="str">
            <v>A24C850000391</v>
          </cell>
          <cell r="E390">
            <v>0</v>
          </cell>
          <cell r="F390">
            <v>3000000</v>
          </cell>
          <cell r="G390" t="str">
            <v>Mobile Phone</v>
          </cell>
          <cell r="H390" t="str">
            <v>[2]HHP EUREKA CAMPAIGN RETAILERS FEBRUARY - INCREASE VERSION</v>
          </cell>
          <cell r="I390" t="str">
            <v>Completed</v>
          </cell>
          <cell r="J390" t="str">
            <v>fernandez.r</v>
          </cell>
          <cell r="K390">
            <v>45338</v>
          </cell>
          <cell r="L390">
            <v>45443</v>
          </cell>
          <cell r="M390" t="str">
            <v>G1</v>
          </cell>
          <cell r="N390" t="str">
            <v>DIGITAL MEDIA</v>
          </cell>
          <cell r="O390" t="str">
            <v>A240</v>
          </cell>
          <cell r="P390" t="str">
            <v>SEARCH</v>
          </cell>
          <cell r="Q390" t="str">
            <v>2024</v>
          </cell>
          <cell r="R390" t="str">
            <v>FA1BOE</v>
          </cell>
          <cell r="S390" t="str">
            <v>DUTY FREE TC SA</v>
          </cell>
          <cell r="T390" t="str">
            <v/>
          </cell>
        </row>
        <row r="391">
          <cell r="C391" t="str">
            <v>T24C850000514</v>
          </cell>
          <cell r="D391" t="str">
            <v>A24C850000712</v>
          </cell>
          <cell r="E391">
            <v>4000000</v>
          </cell>
          <cell r="F391">
            <v>0</v>
          </cell>
          <cell r="G391" t="str">
            <v>Mobile Phone</v>
          </cell>
          <cell r="H391" t="str">
            <v>[6]A SERIES CAMPAIGN - RETAILERS - APRIL</v>
          </cell>
          <cell r="I391" t="str">
            <v>Closed</v>
          </cell>
          <cell r="J391" t="str">
            <v>fernandez.r</v>
          </cell>
          <cell r="K391">
            <v>45385</v>
          </cell>
          <cell r="L391">
            <v>45504</v>
          </cell>
          <cell r="M391" t="str">
            <v>G1</v>
          </cell>
          <cell r="N391" t="str">
            <v>DIGITAL MEDIA</v>
          </cell>
          <cell r="O391" t="str">
            <v>A250</v>
          </cell>
          <cell r="P391" t="str">
            <v>DISPLAY</v>
          </cell>
          <cell r="Q391" t="str">
            <v>2024</v>
          </cell>
          <cell r="R391" t="str">
            <v>FA1BOE</v>
          </cell>
          <cell r="S391" t="str">
            <v>DUTY FREE TC SA</v>
          </cell>
          <cell r="T391" t="str">
            <v/>
          </cell>
        </row>
        <row r="392">
          <cell r="C392" t="str">
            <v>T24C850000514</v>
          </cell>
          <cell r="D392" t="str">
            <v>A24C850000712</v>
          </cell>
          <cell r="E392">
            <v>-23118</v>
          </cell>
          <cell r="F392">
            <v>3976882</v>
          </cell>
          <cell r="G392" t="str">
            <v>Mobile Phone</v>
          </cell>
          <cell r="H392" t="str">
            <v>[6]A SERIES CAMPAIGN - RETAILERS - APRIL</v>
          </cell>
          <cell r="I392" t="str">
            <v>Closed</v>
          </cell>
          <cell r="J392" t="str">
            <v>fernandez.r</v>
          </cell>
          <cell r="K392">
            <v>45385</v>
          </cell>
          <cell r="L392">
            <v>45504</v>
          </cell>
          <cell r="M392" t="str">
            <v>G1</v>
          </cell>
          <cell r="N392" t="str">
            <v>DIGITAL MEDIA</v>
          </cell>
          <cell r="O392" t="str">
            <v>A250</v>
          </cell>
          <cell r="P392" t="str">
            <v>DISPLAY</v>
          </cell>
          <cell r="Q392" t="str">
            <v>2024</v>
          </cell>
          <cell r="R392" t="str">
            <v>FA1BOE</v>
          </cell>
          <cell r="S392" t="str">
            <v>DUTY FREE TC SA</v>
          </cell>
          <cell r="T392" t="str">
            <v/>
          </cell>
        </row>
        <row r="393">
          <cell r="C393" t="str">
            <v>T24C850000514</v>
          </cell>
          <cell r="D393" t="str">
            <v>A24C850000712</v>
          </cell>
          <cell r="E393">
            <v>1000000</v>
          </cell>
          <cell r="F393">
            <v>0</v>
          </cell>
          <cell r="G393" t="str">
            <v>Mobile Phone</v>
          </cell>
          <cell r="H393" t="str">
            <v>[6]A SERIES CAMPAIGN - RETAILERS - APRIL</v>
          </cell>
          <cell r="I393" t="str">
            <v>Closed</v>
          </cell>
          <cell r="J393" t="str">
            <v>fernandez.r</v>
          </cell>
          <cell r="K393">
            <v>45385</v>
          </cell>
          <cell r="L393">
            <v>45504</v>
          </cell>
          <cell r="M393" t="str">
            <v>G1</v>
          </cell>
          <cell r="N393" t="str">
            <v>DIGITAL MEDIA</v>
          </cell>
          <cell r="O393" t="str">
            <v>A230</v>
          </cell>
          <cell r="P393" t="str">
            <v>SOCIAL ADS</v>
          </cell>
          <cell r="Q393" t="str">
            <v>2024</v>
          </cell>
          <cell r="R393" t="str">
            <v>FA1BOE</v>
          </cell>
          <cell r="S393" t="str">
            <v>DUTY FREE TC SA</v>
          </cell>
          <cell r="T393" t="str">
            <v/>
          </cell>
        </row>
        <row r="394">
          <cell r="C394" t="str">
            <v>T24C850000514</v>
          </cell>
          <cell r="D394" t="str">
            <v>A24C850000712</v>
          </cell>
          <cell r="E394">
            <v>0</v>
          </cell>
          <cell r="F394">
            <v>1000000</v>
          </cell>
          <cell r="G394" t="str">
            <v>Mobile Phone</v>
          </cell>
          <cell r="H394" t="str">
            <v>[6]A SERIES CAMPAIGN - RETAILERS - APRIL</v>
          </cell>
          <cell r="I394" t="str">
            <v>Closed</v>
          </cell>
          <cell r="J394" t="str">
            <v>fernandez.r</v>
          </cell>
          <cell r="K394">
            <v>45385</v>
          </cell>
          <cell r="L394">
            <v>45504</v>
          </cell>
          <cell r="M394" t="str">
            <v>G1</v>
          </cell>
          <cell r="N394" t="str">
            <v>DIGITAL MEDIA</v>
          </cell>
          <cell r="O394" t="str">
            <v>A230</v>
          </cell>
          <cell r="P394" t="str">
            <v>SOCIAL ADS</v>
          </cell>
          <cell r="Q394" t="str">
            <v>2024</v>
          </cell>
          <cell r="R394" t="str">
            <v>FA1BOE</v>
          </cell>
          <cell r="S394" t="str">
            <v>DUTY FREE TC SA</v>
          </cell>
          <cell r="T394" t="str">
            <v/>
          </cell>
        </row>
        <row r="395">
          <cell r="C395" t="str">
            <v>T24C850000514</v>
          </cell>
          <cell r="D395" t="str">
            <v>A24C850000712</v>
          </cell>
          <cell r="E395">
            <v>5000000</v>
          </cell>
          <cell r="F395">
            <v>0</v>
          </cell>
          <cell r="G395" t="str">
            <v>Mobile Phone</v>
          </cell>
          <cell r="H395" t="str">
            <v>[6]A SERIES CAMPAIGN - RETAILERS - APRIL</v>
          </cell>
          <cell r="I395" t="str">
            <v>Closed</v>
          </cell>
          <cell r="J395" t="str">
            <v>fernandez.r</v>
          </cell>
          <cell r="K395">
            <v>45385</v>
          </cell>
          <cell r="L395">
            <v>45504</v>
          </cell>
          <cell r="M395" t="str">
            <v>G1</v>
          </cell>
          <cell r="N395" t="str">
            <v>DIGITAL MEDIA</v>
          </cell>
          <cell r="O395" t="str">
            <v>A240</v>
          </cell>
          <cell r="P395" t="str">
            <v>SEARCH</v>
          </cell>
          <cell r="Q395" t="str">
            <v>2024</v>
          </cell>
          <cell r="R395" t="str">
            <v>FA1BOE</v>
          </cell>
          <cell r="S395" t="str">
            <v>DUTY FREE TC SA</v>
          </cell>
          <cell r="T395" t="str">
            <v/>
          </cell>
        </row>
        <row r="396">
          <cell r="C396" t="str">
            <v>T24C850000514</v>
          </cell>
          <cell r="D396" t="str">
            <v>A24C850000712</v>
          </cell>
          <cell r="E396">
            <v>0</v>
          </cell>
          <cell r="F396">
            <v>5000000</v>
          </cell>
          <cell r="G396" t="str">
            <v>Mobile Phone</v>
          </cell>
          <cell r="H396" t="str">
            <v>[6]A SERIES CAMPAIGN - RETAILERS - APRIL</v>
          </cell>
          <cell r="I396" t="str">
            <v>Closed</v>
          </cell>
          <cell r="J396" t="str">
            <v>fernandez.r</v>
          </cell>
          <cell r="K396">
            <v>45385</v>
          </cell>
          <cell r="L396">
            <v>45504</v>
          </cell>
          <cell r="M396" t="str">
            <v>G1</v>
          </cell>
          <cell r="N396" t="str">
            <v>DIGITAL MEDIA</v>
          </cell>
          <cell r="O396" t="str">
            <v>A240</v>
          </cell>
          <cell r="P396" t="str">
            <v>SEARCH</v>
          </cell>
          <cell r="Q396" t="str">
            <v>2024</v>
          </cell>
          <cell r="R396" t="str">
            <v>FA1BOE</v>
          </cell>
          <cell r="S396" t="str">
            <v>DUTY FREE TC SA</v>
          </cell>
          <cell r="T396" t="str">
            <v/>
          </cell>
        </row>
        <row r="397">
          <cell r="C397" t="str">
            <v>T24C850000636</v>
          </cell>
          <cell r="D397" t="str">
            <v>A24C850000852</v>
          </cell>
          <cell r="E397">
            <v>4000000</v>
          </cell>
          <cell r="F397">
            <v>0</v>
          </cell>
          <cell r="G397" t="str">
            <v>Mobile Phone</v>
          </cell>
          <cell r="H397" t="str">
            <v>[1]S24 CAMPAIGN - SUSTAIN / TRAVEL (DUTY)</v>
          </cell>
          <cell r="I397" t="str">
            <v>Completed</v>
          </cell>
          <cell r="J397" t="str">
            <v>fernandez.r</v>
          </cell>
          <cell r="K397">
            <v>45437</v>
          </cell>
          <cell r="L397">
            <v>45504</v>
          </cell>
          <cell r="M397" t="str">
            <v>G1</v>
          </cell>
          <cell r="N397" t="str">
            <v>DIGITAL MEDIA</v>
          </cell>
          <cell r="O397" t="str">
            <v>A250</v>
          </cell>
          <cell r="P397" t="str">
            <v>DISPLAY</v>
          </cell>
          <cell r="Q397" t="str">
            <v>2024</v>
          </cell>
          <cell r="R397" t="str">
            <v>FA1BOE</v>
          </cell>
          <cell r="S397" t="str">
            <v>DUTY FREE TC SA</v>
          </cell>
          <cell r="T397" t="str">
            <v/>
          </cell>
        </row>
        <row r="398">
          <cell r="C398" t="str">
            <v>T24C850000636</v>
          </cell>
          <cell r="D398" t="str">
            <v>A24C850000852</v>
          </cell>
          <cell r="E398">
            <v>6000000</v>
          </cell>
          <cell r="F398">
            <v>0</v>
          </cell>
          <cell r="G398" t="str">
            <v>Mobile Phone</v>
          </cell>
          <cell r="H398" t="str">
            <v>[1]S24 CAMPAIGN - SUSTAIN / TRAVEL (DUTY)</v>
          </cell>
          <cell r="I398" t="str">
            <v>Completed</v>
          </cell>
          <cell r="J398" t="str">
            <v>fernandez.r</v>
          </cell>
          <cell r="K398">
            <v>45437</v>
          </cell>
          <cell r="L398">
            <v>45504</v>
          </cell>
          <cell r="M398" t="str">
            <v>G1</v>
          </cell>
          <cell r="N398" t="str">
            <v>DIGITAL MEDIA</v>
          </cell>
          <cell r="O398" t="str">
            <v>A240</v>
          </cell>
          <cell r="P398" t="str">
            <v>SEARCH</v>
          </cell>
          <cell r="Q398" t="str">
            <v>2024</v>
          </cell>
          <cell r="R398" t="str">
            <v>FA1BOE</v>
          </cell>
          <cell r="S398" t="str">
            <v>DUTY FREE TC SA</v>
          </cell>
          <cell r="T398" t="str">
            <v/>
          </cell>
        </row>
        <row r="399">
          <cell r="C399" t="str">
            <v>T24C850000642</v>
          </cell>
          <cell r="D399" t="str">
            <v>A24C850000876</v>
          </cell>
          <cell r="E399">
            <v>2000000</v>
          </cell>
          <cell r="F399">
            <v>0</v>
          </cell>
          <cell r="G399" t="str">
            <v>Mobile Phone</v>
          </cell>
          <cell r="H399" t="str">
            <v>[2]HHP AON CAMPAIGN RETAILERS JUNE - RETAIL B</v>
          </cell>
          <cell r="I399" t="str">
            <v>Completed</v>
          </cell>
          <cell r="J399" t="str">
            <v>fernandez.r</v>
          </cell>
          <cell r="K399">
            <v>45444</v>
          </cell>
          <cell r="L399">
            <v>45535</v>
          </cell>
          <cell r="M399" t="str">
            <v>G1</v>
          </cell>
          <cell r="N399" t="str">
            <v>DIGITAL MEDIA</v>
          </cell>
          <cell r="O399" t="str">
            <v>A240</v>
          </cell>
          <cell r="P399" t="str">
            <v>SEARCH</v>
          </cell>
          <cell r="Q399" t="str">
            <v>2024</v>
          </cell>
          <cell r="R399" t="str">
            <v>FA1BOE</v>
          </cell>
          <cell r="S399" t="str">
            <v>DUTY FREE TC SA</v>
          </cell>
          <cell r="T399" t="str">
            <v/>
          </cell>
        </row>
        <row r="400">
          <cell r="C400" t="str">
            <v>T24C850001153</v>
          </cell>
          <cell r="D400" t="str">
            <v>A24C850001596</v>
          </cell>
          <cell r="E400">
            <v>2000000</v>
          </cell>
          <cell r="F400">
            <v>0</v>
          </cell>
          <cell r="G400" t="str">
            <v>Mobile Phone</v>
          </cell>
          <cell r="H400" t="str">
            <v>[5]HHP AON Q4 RETAIL CAMPAIGN 2024</v>
          </cell>
          <cell r="I400" t="str">
            <v>Completed</v>
          </cell>
          <cell r="J400" t="str">
            <v>m.lavanchy</v>
          </cell>
          <cell r="K400">
            <v>45566</v>
          </cell>
          <cell r="L400">
            <v>45657</v>
          </cell>
          <cell r="M400" t="str">
            <v>G1</v>
          </cell>
          <cell r="N400" t="str">
            <v>DIGITAL MEDIA</v>
          </cell>
          <cell r="O400" t="str">
            <v>A240</v>
          </cell>
          <cell r="P400" t="str">
            <v>SEARCH</v>
          </cell>
          <cell r="Q400" t="str">
            <v>2024</v>
          </cell>
          <cell r="R400" t="str">
            <v>FA1BOE</v>
          </cell>
          <cell r="S400" t="str">
            <v>DUTY FREE TC SA</v>
          </cell>
          <cell r="T400" t="str">
            <v/>
          </cell>
        </row>
        <row r="401">
          <cell r="C401" t="str">
            <v>T24C850001153</v>
          </cell>
          <cell r="D401" t="str">
            <v>A24C850001596</v>
          </cell>
          <cell r="E401">
            <v>1000000</v>
          </cell>
          <cell r="F401">
            <v>0</v>
          </cell>
          <cell r="G401" t="str">
            <v>Mobile Phone</v>
          </cell>
          <cell r="H401" t="str">
            <v>[5]HHP AON Q4 RETAIL CAMPAIGN 2024</v>
          </cell>
          <cell r="I401" t="str">
            <v>Completed</v>
          </cell>
          <cell r="J401" t="str">
            <v>m.lavanchy</v>
          </cell>
          <cell r="K401">
            <v>45566</v>
          </cell>
          <cell r="L401">
            <v>45657</v>
          </cell>
          <cell r="M401" t="str">
            <v>G1</v>
          </cell>
          <cell r="N401" t="str">
            <v>DIGITAL MEDIA</v>
          </cell>
          <cell r="O401" t="str">
            <v>A240</v>
          </cell>
          <cell r="P401" t="str">
            <v>SEARCH</v>
          </cell>
          <cell r="Q401" t="str">
            <v>2024</v>
          </cell>
          <cell r="R401" t="str">
            <v>FA1BOE</v>
          </cell>
          <cell r="S401" t="str">
            <v>DUTY FREE TC SA</v>
          </cell>
          <cell r="T401" t="str">
            <v/>
          </cell>
        </row>
        <row r="402">
          <cell r="C402" t="str">
            <v>T24C850001153</v>
          </cell>
          <cell r="D402" t="str">
            <v>A24C850001596</v>
          </cell>
          <cell r="E402">
            <v>2000000</v>
          </cell>
          <cell r="F402">
            <v>0</v>
          </cell>
          <cell r="G402" t="str">
            <v>Mobile Phone</v>
          </cell>
          <cell r="H402" t="str">
            <v>[5]HHP AON Q4 RETAIL CAMPAIGN 2024</v>
          </cell>
          <cell r="I402" t="str">
            <v>Completed</v>
          </cell>
          <cell r="J402" t="str">
            <v>m.lavanchy</v>
          </cell>
          <cell r="K402">
            <v>45566</v>
          </cell>
          <cell r="L402">
            <v>45657</v>
          </cell>
          <cell r="M402" t="str">
            <v>G1</v>
          </cell>
          <cell r="N402" t="str">
            <v>DIGITAL MEDIA</v>
          </cell>
          <cell r="O402" t="str">
            <v>A240</v>
          </cell>
          <cell r="P402" t="str">
            <v>SEARCH</v>
          </cell>
          <cell r="Q402" t="str">
            <v>2024</v>
          </cell>
          <cell r="R402" t="str">
            <v>FA1BOE</v>
          </cell>
          <cell r="S402" t="str">
            <v>DUTY FREE TC SA</v>
          </cell>
          <cell r="T402" t="str">
            <v/>
          </cell>
        </row>
        <row r="403">
          <cell r="C403" t="str">
            <v>T24C850001153</v>
          </cell>
          <cell r="D403" t="str">
            <v>A24C850001596</v>
          </cell>
          <cell r="E403">
            <v>2000000</v>
          </cell>
          <cell r="F403">
            <v>0</v>
          </cell>
          <cell r="G403" t="str">
            <v>Mobile Phone</v>
          </cell>
          <cell r="H403" t="str">
            <v>[5]HHP AON Q4 RETAIL CAMPAIGN 2024</v>
          </cell>
          <cell r="I403" t="str">
            <v>Completed</v>
          </cell>
          <cell r="J403" t="str">
            <v>m.lavanchy</v>
          </cell>
          <cell r="K403">
            <v>45566</v>
          </cell>
          <cell r="L403">
            <v>45657</v>
          </cell>
          <cell r="M403" t="str">
            <v>G1</v>
          </cell>
          <cell r="N403" t="str">
            <v>DIGITAL MEDIA</v>
          </cell>
          <cell r="O403" t="str">
            <v>A230</v>
          </cell>
          <cell r="P403" t="str">
            <v>SOCIAL ADS</v>
          </cell>
          <cell r="Q403" t="str">
            <v>2024</v>
          </cell>
          <cell r="R403" t="str">
            <v>FA1BOE</v>
          </cell>
          <cell r="S403" t="str">
            <v>DUTY FREE TC SA</v>
          </cell>
          <cell r="T403" t="str">
            <v/>
          </cell>
        </row>
        <row r="404">
          <cell r="C404" t="str">
            <v>T24C850001153</v>
          </cell>
          <cell r="D404" t="str">
            <v>A24C850001596</v>
          </cell>
          <cell r="E404">
            <v>1000000</v>
          </cell>
          <cell r="F404">
            <v>0</v>
          </cell>
          <cell r="G404" t="str">
            <v>Mobile Phone</v>
          </cell>
          <cell r="H404" t="str">
            <v>[5]HHP AON Q4 RETAIL CAMPAIGN 2024</v>
          </cell>
          <cell r="I404" t="str">
            <v>Completed</v>
          </cell>
          <cell r="J404" t="str">
            <v>m.lavanchy</v>
          </cell>
          <cell r="K404">
            <v>45566</v>
          </cell>
          <cell r="L404">
            <v>45657</v>
          </cell>
          <cell r="M404" t="str">
            <v>G1</v>
          </cell>
          <cell r="N404" t="str">
            <v>DIGITAL MEDIA</v>
          </cell>
          <cell r="O404" t="str">
            <v>A230</v>
          </cell>
          <cell r="P404" t="str">
            <v>SOCIAL ADS</v>
          </cell>
          <cell r="Q404" t="str">
            <v>2024</v>
          </cell>
          <cell r="R404" t="str">
            <v>FA1BOE</v>
          </cell>
          <cell r="S404" t="str">
            <v>DUTY FREE TC SA</v>
          </cell>
          <cell r="T404" t="str">
            <v/>
          </cell>
        </row>
        <row r="405">
          <cell r="C405" t="str">
            <v>T24C850001153</v>
          </cell>
          <cell r="D405" t="str">
            <v>A24C850001596</v>
          </cell>
          <cell r="E405">
            <v>2000000</v>
          </cell>
          <cell r="F405">
            <v>0</v>
          </cell>
          <cell r="G405" t="str">
            <v>Mobile Phone</v>
          </cell>
          <cell r="H405" t="str">
            <v>[5]HHP AON Q4 RETAIL CAMPAIGN 2024</v>
          </cell>
          <cell r="I405" t="str">
            <v>Completed</v>
          </cell>
          <cell r="J405" t="str">
            <v>m.lavanchy</v>
          </cell>
          <cell r="K405">
            <v>45566</v>
          </cell>
          <cell r="L405">
            <v>45657</v>
          </cell>
          <cell r="M405" t="str">
            <v>G1</v>
          </cell>
          <cell r="N405" t="str">
            <v>DIGITAL MEDIA</v>
          </cell>
          <cell r="O405" t="str">
            <v>A230</v>
          </cell>
          <cell r="P405" t="str">
            <v>SOCIAL ADS</v>
          </cell>
          <cell r="Q405" t="str">
            <v>2024</v>
          </cell>
          <cell r="R405" t="str">
            <v>FA1BOE</v>
          </cell>
          <cell r="S405" t="str">
            <v>DUTY FREE TC SA</v>
          </cell>
          <cell r="T405" t="str">
            <v/>
          </cell>
        </row>
        <row r="406">
          <cell r="C406" t="str">
            <v>T24C850001202</v>
          </cell>
          <cell r="D406" t="str">
            <v>A24C850001617</v>
          </cell>
          <cell r="E406">
            <v>2000000</v>
          </cell>
          <cell r="F406">
            <v>0</v>
          </cell>
          <cell r="G406" t="str">
            <v>Mobile Phone</v>
          </cell>
          <cell r="H406" t="str">
            <v>[4]SS WEEK HHP RETAILERS</v>
          </cell>
          <cell r="I406" t="str">
            <v>Completed</v>
          </cell>
          <cell r="J406" t="str">
            <v>m.lavanchy</v>
          </cell>
          <cell r="K406">
            <v>45577</v>
          </cell>
          <cell r="L406">
            <v>45657</v>
          </cell>
          <cell r="M406" t="str">
            <v>G1</v>
          </cell>
          <cell r="N406" t="str">
            <v>DIGITAL MEDIA</v>
          </cell>
          <cell r="O406" t="str">
            <v>A240</v>
          </cell>
          <cell r="P406" t="str">
            <v>SEARCH</v>
          </cell>
          <cell r="Q406" t="str">
            <v>2024</v>
          </cell>
          <cell r="R406" t="str">
            <v>FA1BOE</v>
          </cell>
          <cell r="S406" t="str">
            <v>DUTY FREE TC SA</v>
          </cell>
          <cell r="T406" t="str">
            <v/>
          </cell>
        </row>
        <row r="407">
          <cell r="C407" t="str">
            <v>T24C850001207</v>
          </cell>
          <cell r="D407" t="str">
            <v>A24C850001613</v>
          </cell>
          <cell r="E407">
            <v>4000000</v>
          </cell>
          <cell r="F407">
            <v>0</v>
          </cell>
          <cell r="G407" t="str">
            <v>Mobile Phone</v>
          </cell>
          <cell r="H407" t="str">
            <v>[4]HHP S24 FE LAUNCH CAMPAIGN RETAIL OCTOBER</v>
          </cell>
          <cell r="I407" t="str">
            <v>Completed</v>
          </cell>
          <cell r="J407" t="str">
            <v>m.lavanchy</v>
          </cell>
          <cell r="K407">
            <v>45577</v>
          </cell>
          <cell r="L407">
            <v>45657</v>
          </cell>
          <cell r="M407" t="str">
            <v>G1</v>
          </cell>
          <cell r="N407" t="str">
            <v>DIGITAL MEDIA</v>
          </cell>
          <cell r="O407" t="str">
            <v>A240</v>
          </cell>
          <cell r="P407" t="str">
            <v>SEARCH</v>
          </cell>
          <cell r="Q407" t="str">
            <v>2024</v>
          </cell>
          <cell r="R407" t="str">
            <v>FA1BOE</v>
          </cell>
          <cell r="S407" t="str">
            <v>DUTY FREE TC SA</v>
          </cell>
          <cell r="T407" t="str">
            <v/>
          </cell>
        </row>
        <row r="408">
          <cell r="C408" t="str">
            <v>T24C850001207</v>
          </cell>
          <cell r="D408" t="str">
            <v>A24C850001613</v>
          </cell>
          <cell r="E408">
            <v>4000000</v>
          </cell>
          <cell r="F408">
            <v>0</v>
          </cell>
          <cell r="G408" t="str">
            <v>Mobile Phone</v>
          </cell>
          <cell r="H408" t="str">
            <v>[4]HHP S24 FE LAUNCH CAMPAIGN RETAIL OCTOBER</v>
          </cell>
          <cell r="I408" t="str">
            <v>Completed</v>
          </cell>
          <cell r="J408" t="str">
            <v>m.lavanchy</v>
          </cell>
          <cell r="K408">
            <v>45577</v>
          </cell>
          <cell r="L408">
            <v>45657</v>
          </cell>
          <cell r="M408" t="str">
            <v>G1</v>
          </cell>
          <cell r="N408" t="str">
            <v>DIGITAL MEDIA</v>
          </cell>
          <cell r="O408" t="str">
            <v>A240</v>
          </cell>
          <cell r="P408" t="str">
            <v>SEARCH</v>
          </cell>
          <cell r="Q408" t="str">
            <v>2024</v>
          </cell>
          <cell r="R408" t="str">
            <v>FA1BOE</v>
          </cell>
          <cell r="S408" t="str">
            <v>DUTY FREE TC SA</v>
          </cell>
          <cell r="T408" t="str">
            <v/>
          </cell>
        </row>
        <row r="409">
          <cell r="C409" t="str">
            <v>T23C850001112</v>
          </cell>
          <cell r="D409" t="str">
            <v>A23C850001692</v>
          </cell>
          <cell r="E409">
            <v>0</v>
          </cell>
          <cell r="F409">
            <v>1500000</v>
          </cell>
          <cell r="G409" t="str">
            <v>Mobile Phone</v>
          </cell>
          <cell r="H409" t="str">
            <v>[9]B5Q5 RETAIL HHP AUGUST CAMPAIGN</v>
          </cell>
          <cell r="I409" t="str">
            <v>Closed</v>
          </cell>
          <cell r="J409" t="str">
            <v>m.aguila</v>
          </cell>
          <cell r="K409">
            <v>45139</v>
          </cell>
          <cell r="L409">
            <v>45230</v>
          </cell>
          <cell r="M409" t="str">
            <v>G1</v>
          </cell>
          <cell r="N409" t="str">
            <v>DIGITAL MEDIA</v>
          </cell>
          <cell r="O409" t="str">
            <v>A230</v>
          </cell>
          <cell r="P409" t="str">
            <v>SOCIAL ADS</v>
          </cell>
          <cell r="Q409" t="str">
            <v>2024</v>
          </cell>
          <cell r="R409" t="str">
            <v>FA0IVV</v>
          </cell>
          <cell r="S409" t="str">
            <v>EMPRESAS LA POLAR S.A.</v>
          </cell>
          <cell r="T409" t="str">
            <v/>
          </cell>
        </row>
        <row r="410">
          <cell r="C410" t="str">
            <v>T23C850001504</v>
          </cell>
          <cell r="D410" t="str">
            <v>A23C850002189</v>
          </cell>
          <cell r="E410">
            <v>0</v>
          </cell>
          <cell r="F410">
            <v>600000</v>
          </cell>
          <cell r="G410" t="str">
            <v>Mobile Phone</v>
          </cell>
          <cell r="H410" t="str">
            <v>[7]WRBLS/RETAIL/Q4 CAMPAIGNS</v>
          </cell>
          <cell r="I410" t="str">
            <v>Closed</v>
          </cell>
          <cell r="J410" t="str">
            <v>j.albornoz</v>
          </cell>
          <cell r="K410">
            <v>45200</v>
          </cell>
          <cell r="L410">
            <v>45291</v>
          </cell>
          <cell r="M410" t="str">
            <v>G1</v>
          </cell>
          <cell r="N410" t="str">
            <v>DIGITAL MEDIA</v>
          </cell>
          <cell r="O410" t="str">
            <v>A240</v>
          </cell>
          <cell r="P410" t="str">
            <v>SEARCH</v>
          </cell>
          <cell r="Q410" t="str">
            <v>2024</v>
          </cell>
          <cell r="R410" t="str">
            <v>FA0IVV</v>
          </cell>
          <cell r="S410" t="str">
            <v>EMPRESAS LA POLAR S.A.</v>
          </cell>
          <cell r="T410" t="str">
            <v/>
          </cell>
        </row>
        <row r="411">
          <cell r="C411" t="str">
            <v>T23C850001519</v>
          </cell>
          <cell r="D411" t="str">
            <v>A23C850002181</v>
          </cell>
          <cell r="E411">
            <v>0</v>
          </cell>
          <cell r="F411">
            <v>700000</v>
          </cell>
          <cell r="G411" t="str">
            <v>Computer</v>
          </cell>
          <cell r="H411" t="str">
            <v>[8]NPC/RETAIL/Q4 CAMPAIGNS</v>
          </cell>
          <cell r="I411" t="str">
            <v>Closed</v>
          </cell>
          <cell r="J411" t="str">
            <v>j.albornoz</v>
          </cell>
          <cell r="K411">
            <v>45200</v>
          </cell>
          <cell r="L411">
            <v>45291</v>
          </cell>
          <cell r="M411" t="str">
            <v>C3</v>
          </cell>
          <cell r="N411" t="str">
            <v>DIGITAL MEDIA</v>
          </cell>
          <cell r="O411" t="str">
            <v>A240</v>
          </cell>
          <cell r="P411" t="str">
            <v>SEARCH</v>
          </cell>
          <cell r="Q411" t="str">
            <v>2024</v>
          </cell>
          <cell r="R411" t="str">
            <v>FA0IVV</v>
          </cell>
          <cell r="S411" t="str">
            <v>EMPRESAS LA POLAR S.A.</v>
          </cell>
          <cell r="T411" t="str">
            <v/>
          </cell>
        </row>
        <row r="412">
          <cell r="C412" t="str">
            <v>T23C850001519</v>
          </cell>
          <cell r="D412" t="str">
            <v>A23C850002181</v>
          </cell>
          <cell r="E412">
            <v>-200000</v>
          </cell>
          <cell r="F412">
            <v>0</v>
          </cell>
          <cell r="G412" t="str">
            <v>Computer</v>
          </cell>
          <cell r="H412" t="str">
            <v>[8]NPC/RETAIL/Q4 CAMPAIGNS</v>
          </cell>
          <cell r="I412" t="str">
            <v>Closed</v>
          </cell>
          <cell r="J412" t="str">
            <v>j.albornoz</v>
          </cell>
          <cell r="K412">
            <v>45200</v>
          </cell>
          <cell r="L412">
            <v>45291</v>
          </cell>
          <cell r="M412" t="str">
            <v>C3</v>
          </cell>
          <cell r="N412" t="str">
            <v>DIGITAL MEDIA</v>
          </cell>
          <cell r="O412" t="str">
            <v>A240</v>
          </cell>
          <cell r="P412" t="str">
            <v>SEARCH</v>
          </cell>
          <cell r="Q412" t="str">
            <v>2024</v>
          </cell>
          <cell r="R412" t="str">
            <v>FA0IVV</v>
          </cell>
          <cell r="S412" t="str">
            <v>EMPRESAS LA POLAR S.A.</v>
          </cell>
          <cell r="T412" t="str">
            <v/>
          </cell>
        </row>
        <row r="413">
          <cell r="C413" t="str">
            <v>T23C850001520</v>
          </cell>
          <cell r="D413" t="str">
            <v>A23C850002177</v>
          </cell>
          <cell r="E413">
            <v>0</v>
          </cell>
          <cell r="F413">
            <v>1200000</v>
          </cell>
          <cell r="G413" t="str">
            <v>Mobile Phone</v>
          </cell>
          <cell r="H413" t="str">
            <v>[7]TAB/RETAIL/Q4 CAMPAIGNS</v>
          </cell>
          <cell r="I413" t="str">
            <v>Closed</v>
          </cell>
          <cell r="J413" t="str">
            <v>j.albornoz</v>
          </cell>
          <cell r="K413">
            <v>45200</v>
          </cell>
          <cell r="L413">
            <v>45291</v>
          </cell>
          <cell r="M413" t="str">
            <v>G1</v>
          </cell>
          <cell r="N413" t="str">
            <v>DIGITAL MEDIA</v>
          </cell>
          <cell r="O413" t="str">
            <v>A240</v>
          </cell>
          <cell r="P413" t="str">
            <v>SEARCH</v>
          </cell>
          <cell r="Q413" t="str">
            <v>2024</v>
          </cell>
          <cell r="R413" t="str">
            <v>FA0IVV</v>
          </cell>
          <cell r="S413" t="str">
            <v>EMPRESAS LA POLAR S.A.</v>
          </cell>
          <cell r="T413" t="str">
            <v/>
          </cell>
        </row>
        <row r="414">
          <cell r="C414" t="str">
            <v>T23C850001520</v>
          </cell>
          <cell r="D414" t="str">
            <v>A23C850002177</v>
          </cell>
          <cell r="E414">
            <v>-500000</v>
          </cell>
          <cell r="F414">
            <v>0</v>
          </cell>
          <cell r="G414" t="str">
            <v>Mobile Phone</v>
          </cell>
          <cell r="H414" t="str">
            <v>[7]TAB/RETAIL/Q4 CAMPAIGNS</v>
          </cell>
          <cell r="I414" t="str">
            <v>Closed</v>
          </cell>
          <cell r="J414" t="str">
            <v>j.albornoz</v>
          </cell>
          <cell r="K414">
            <v>45200</v>
          </cell>
          <cell r="L414">
            <v>45291</v>
          </cell>
          <cell r="M414" t="str">
            <v>G1</v>
          </cell>
          <cell r="N414" t="str">
            <v>DIGITAL MEDIA</v>
          </cell>
          <cell r="O414" t="str">
            <v>A240</v>
          </cell>
          <cell r="P414" t="str">
            <v>SEARCH</v>
          </cell>
          <cell r="Q414" t="str">
            <v>2024</v>
          </cell>
          <cell r="R414" t="str">
            <v>FA0IVV</v>
          </cell>
          <cell r="S414" t="str">
            <v>EMPRESAS LA POLAR S.A.</v>
          </cell>
          <cell r="T414" t="str">
            <v/>
          </cell>
        </row>
        <row r="415">
          <cell r="C415" t="str">
            <v>T23C850001669</v>
          </cell>
          <cell r="D415" t="str">
            <v>A23C850002359</v>
          </cell>
          <cell r="E415">
            <v>0</v>
          </cell>
          <cell r="F415">
            <v>443000</v>
          </cell>
          <cell r="G415" t="str">
            <v>Mobile Phone</v>
          </cell>
          <cell r="H415" t="str">
            <v>[7]RETAIL HHP S23 FE LAUNCH CAMPAIGN</v>
          </cell>
          <cell r="I415" t="str">
            <v>Closed</v>
          </cell>
          <cell r="J415" t="str">
            <v>sjara.mella</v>
          </cell>
          <cell r="K415">
            <v>45230</v>
          </cell>
          <cell r="L415">
            <v>45291</v>
          </cell>
          <cell r="M415" t="str">
            <v>G1</v>
          </cell>
          <cell r="N415" t="str">
            <v>DIGITAL MEDIA</v>
          </cell>
          <cell r="O415" t="str">
            <v>A250</v>
          </cell>
          <cell r="P415" t="str">
            <v>DISPLAY</v>
          </cell>
          <cell r="Q415" t="str">
            <v>2024</v>
          </cell>
          <cell r="R415" t="str">
            <v>FA0IVV</v>
          </cell>
          <cell r="S415" t="str">
            <v>EMPRESAS LA POLAR S.A.</v>
          </cell>
          <cell r="T415" t="str">
            <v/>
          </cell>
        </row>
        <row r="416">
          <cell r="C416" t="str">
            <v>T23C850001669</v>
          </cell>
          <cell r="D416" t="str">
            <v>A23C850002359</v>
          </cell>
          <cell r="E416">
            <v>-57000</v>
          </cell>
          <cell r="F416">
            <v>0</v>
          </cell>
          <cell r="G416" t="str">
            <v>Mobile Phone</v>
          </cell>
          <cell r="H416" t="str">
            <v>[7]RETAIL HHP S23 FE LAUNCH CAMPAIGN</v>
          </cell>
          <cell r="I416" t="str">
            <v>Closed</v>
          </cell>
          <cell r="J416" t="str">
            <v>sjara.mella</v>
          </cell>
          <cell r="K416">
            <v>45230</v>
          </cell>
          <cell r="L416">
            <v>45291</v>
          </cell>
          <cell r="M416" t="str">
            <v>G1</v>
          </cell>
          <cell r="N416" t="str">
            <v>DIGITAL MEDIA</v>
          </cell>
          <cell r="O416" t="str">
            <v>A250</v>
          </cell>
          <cell r="P416" t="str">
            <v>DISPLAY</v>
          </cell>
          <cell r="Q416" t="str">
            <v>2024</v>
          </cell>
          <cell r="R416" t="str">
            <v>FA0IVV</v>
          </cell>
          <cell r="S416" t="str">
            <v>EMPRESAS LA POLAR S.A.</v>
          </cell>
          <cell r="T416" t="str">
            <v/>
          </cell>
        </row>
        <row r="417">
          <cell r="C417" t="str">
            <v>T23C850001669</v>
          </cell>
          <cell r="D417" t="str">
            <v>A23C850002359</v>
          </cell>
          <cell r="E417">
            <v>0</v>
          </cell>
          <cell r="F417">
            <v>500000</v>
          </cell>
          <cell r="G417" t="str">
            <v>Mobile Phone</v>
          </cell>
          <cell r="H417" t="str">
            <v>[7]RETAIL HHP S23 FE LAUNCH CAMPAIGN</v>
          </cell>
          <cell r="I417" t="str">
            <v>Closed</v>
          </cell>
          <cell r="J417" t="str">
            <v>sjara.mella</v>
          </cell>
          <cell r="K417">
            <v>45230</v>
          </cell>
          <cell r="L417">
            <v>45291</v>
          </cell>
          <cell r="M417" t="str">
            <v>G1</v>
          </cell>
          <cell r="N417" t="str">
            <v>DIGITAL MEDIA</v>
          </cell>
          <cell r="O417" t="str">
            <v>A240</v>
          </cell>
          <cell r="P417" t="str">
            <v>SEARCH</v>
          </cell>
          <cell r="Q417" t="str">
            <v>2024</v>
          </cell>
          <cell r="R417" t="str">
            <v>FA0IVV</v>
          </cell>
          <cell r="S417" t="str">
            <v>EMPRESAS LA POLAR S.A.</v>
          </cell>
          <cell r="T417" t="str">
            <v/>
          </cell>
        </row>
        <row r="418">
          <cell r="C418" t="str">
            <v>T23C850001669</v>
          </cell>
          <cell r="D418" t="str">
            <v>A23C850002359</v>
          </cell>
          <cell r="E418">
            <v>0</v>
          </cell>
          <cell r="F418">
            <v>500000</v>
          </cell>
          <cell r="G418" t="str">
            <v>Mobile Phone</v>
          </cell>
          <cell r="H418" t="str">
            <v>[7]RETAIL HHP S23 FE LAUNCH CAMPAIGN</v>
          </cell>
          <cell r="I418" t="str">
            <v>Closed</v>
          </cell>
          <cell r="J418" t="str">
            <v>sjara.mella</v>
          </cell>
          <cell r="K418">
            <v>45230</v>
          </cell>
          <cell r="L418">
            <v>45291</v>
          </cell>
          <cell r="M418" t="str">
            <v>G1</v>
          </cell>
          <cell r="N418" t="str">
            <v>DIGITAL MEDIA</v>
          </cell>
          <cell r="O418" t="str">
            <v>A230</v>
          </cell>
          <cell r="P418" t="str">
            <v>SOCIAL ADS</v>
          </cell>
          <cell r="Q418" t="str">
            <v>2024</v>
          </cell>
          <cell r="R418" t="str">
            <v>FA0IVV</v>
          </cell>
          <cell r="S418" t="str">
            <v>EMPRESAS LA POLAR S.A.</v>
          </cell>
          <cell r="T418" t="str">
            <v/>
          </cell>
        </row>
        <row r="419">
          <cell r="C419" t="str">
            <v>T24C850000100</v>
          </cell>
          <cell r="D419" t="str">
            <v>A24C850000150</v>
          </cell>
          <cell r="E419">
            <v>1000000</v>
          </cell>
          <cell r="F419">
            <v>0</v>
          </cell>
          <cell r="G419" t="str">
            <v>Mobile Phone</v>
          </cell>
          <cell r="H419" t="str">
            <v>[7]HHP EUREKA CAMPAIGN RETAILERS JANUARY</v>
          </cell>
          <cell r="I419" t="str">
            <v>Closed</v>
          </cell>
          <cell r="J419" t="str">
            <v>fernandez.r</v>
          </cell>
          <cell r="K419">
            <v>45303</v>
          </cell>
          <cell r="L419">
            <v>45382</v>
          </cell>
          <cell r="M419" t="str">
            <v>G1</v>
          </cell>
          <cell r="N419" t="str">
            <v>DIGITAL MEDIA</v>
          </cell>
          <cell r="O419" t="str">
            <v>A250</v>
          </cell>
          <cell r="P419" t="str">
            <v>DISPLAY</v>
          </cell>
          <cell r="Q419" t="str">
            <v>2024</v>
          </cell>
          <cell r="R419" t="str">
            <v>FA0IVV</v>
          </cell>
          <cell r="S419" t="str">
            <v>EMPRESAS LA POLAR S.A.</v>
          </cell>
          <cell r="T419" t="str">
            <v/>
          </cell>
        </row>
        <row r="420">
          <cell r="C420" t="str">
            <v>T24C850000100</v>
          </cell>
          <cell r="D420" t="str">
            <v>A24C850000150</v>
          </cell>
          <cell r="E420">
            <v>0</v>
          </cell>
          <cell r="F420">
            <v>944137</v>
          </cell>
          <cell r="G420" t="str">
            <v>Mobile Phone</v>
          </cell>
          <cell r="H420" t="str">
            <v>[7]HHP EUREKA CAMPAIGN RETAILERS JANUARY</v>
          </cell>
          <cell r="I420" t="str">
            <v>Closed</v>
          </cell>
          <cell r="J420" t="str">
            <v>fernandez.r</v>
          </cell>
          <cell r="K420">
            <v>45303</v>
          </cell>
          <cell r="L420">
            <v>45382</v>
          </cell>
          <cell r="M420" t="str">
            <v>G1</v>
          </cell>
          <cell r="N420" t="str">
            <v>DIGITAL MEDIA</v>
          </cell>
          <cell r="O420" t="str">
            <v>A250</v>
          </cell>
          <cell r="P420" t="str">
            <v>DISPLAY</v>
          </cell>
          <cell r="Q420" t="str">
            <v>2024</v>
          </cell>
          <cell r="R420" t="str">
            <v>FA0IVV</v>
          </cell>
          <cell r="S420" t="str">
            <v>EMPRESAS LA POLAR S.A.</v>
          </cell>
          <cell r="T420" t="str">
            <v/>
          </cell>
        </row>
        <row r="421">
          <cell r="C421" t="str">
            <v>T24C850000100</v>
          </cell>
          <cell r="D421" t="str">
            <v>A24C850000150</v>
          </cell>
          <cell r="E421">
            <v>-55863</v>
          </cell>
          <cell r="F421">
            <v>0</v>
          </cell>
          <cell r="G421" t="str">
            <v>Mobile Phone</v>
          </cell>
          <cell r="H421" t="str">
            <v>[7]HHP EUREKA CAMPAIGN RETAILERS JANUARY</v>
          </cell>
          <cell r="I421" t="str">
            <v>Closed</v>
          </cell>
          <cell r="J421" t="str">
            <v>fernandez.r</v>
          </cell>
          <cell r="K421">
            <v>45303</v>
          </cell>
          <cell r="L421">
            <v>45382</v>
          </cell>
          <cell r="M421" t="str">
            <v>G1</v>
          </cell>
          <cell r="N421" t="str">
            <v>DIGITAL MEDIA</v>
          </cell>
          <cell r="O421" t="str">
            <v>A250</v>
          </cell>
          <cell r="P421" t="str">
            <v>DISPLAY</v>
          </cell>
          <cell r="Q421" t="str">
            <v>2024</v>
          </cell>
          <cell r="R421" t="str">
            <v>FA0IVV</v>
          </cell>
          <cell r="S421" t="str">
            <v>EMPRESAS LA POLAR S.A.</v>
          </cell>
          <cell r="T421" t="str">
            <v/>
          </cell>
        </row>
        <row r="422">
          <cell r="C422" t="str">
            <v>T24C850000100</v>
          </cell>
          <cell r="D422" t="str">
            <v>A24C850000150</v>
          </cell>
          <cell r="E422">
            <v>1500000</v>
          </cell>
          <cell r="F422">
            <v>0</v>
          </cell>
          <cell r="G422" t="str">
            <v>Mobile Phone</v>
          </cell>
          <cell r="H422" t="str">
            <v>[7]HHP EUREKA CAMPAIGN RETAILERS JANUARY</v>
          </cell>
          <cell r="I422" t="str">
            <v>Closed</v>
          </cell>
          <cell r="J422" t="str">
            <v>fernandez.r</v>
          </cell>
          <cell r="K422">
            <v>45303</v>
          </cell>
          <cell r="L422">
            <v>45382</v>
          </cell>
          <cell r="M422" t="str">
            <v>G1</v>
          </cell>
          <cell r="N422" t="str">
            <v>DIGITAL MEDIA</v>
          </cell>
          <cell r="O422" t="str">
            <v>A230</v>
          </cell>
          <cell r="P422" t="str">
            <v>SOCIAL ADS</v>
          </cell>
          <cell r="Q422" t="str">
            <v>2024</v>
          </cell>
          <cell r="R422" t="str">
            <v>FA0IVV</v>
          </cell>
          <cell r="S422" t="str">
            <v>EMPRESAS LA POLAR S.A.</v>
          </cell>
          <cell r="T422" t="str">
            <v/>
          </cell>
        </row>
        <row r="423">
          <cell r="C423" t="str">
            <v>T24C850000100</v>
          </cell>
          <cell r="D423" t="str">
            <v>A24C850000150</v>
          </cell>
          <cell r="E423">
            <v>0</v>
          </cell>
          <cell r="F423">
            <v>1500000</v>
          </cell>
          <cell r="G423" t="str">
            <v>Mobile Phone</v>
          </cell>
          <cell r="H423" t="str">
            <v>[7]HHP EUREKA CAMPAIGN RETAILERS JANUARY</v>
          </cell>
          <cell r="I423" t="str">
            <v>Closed</v>
          </cell>
          <cell r="J423" t="str">
            <v>fernandez.r</v>
          </cell>
          <cell r="K423">
            <v>45303</v>
          </cell>
          <cell r="L423">
            <v>45382</v>
          </cell>
          <cell r="M423" t="str">
            <v>G1</v>
          </cell>
          <cell r="N423" t="str">
            <v>DIGITAL MEDIA</v>
          </cell>
          <cell r="O423" t="str">
            <v>A230</v>
          </cell>
          <cell r="P423" t="str">
            <v>SOCIAL ADS</v>
          </cell>
          <cell r="Q423" t="str">
            <v>2024</v>
          </cell>
          <cell r="R423" t="str">
            <v>FA0IVV</v>
          </cell>
          <cell r="S423" t="str">
            <v>EMPRESAS LA POLAR S.A.</v>
          </cell>
          <cell r="T423" t="str">
            <v/>
          </cell>
        </row>
        <row r="424">
          <cell r="C424" t="str">
            <v>T24C850000100</v>
          </cell>
          <cell r="D424" t="str">
            <v>A24C850000150</v>
          </cell>
          <cell r="E424">
            <v>1500000</v>
          </cell>
          <cell r="F424">
            <v>0</v>
          </cell>
          <cell r="G424" t="str">
            <v>Mobile Phone</v>
          </cell>
          <cell r="H424" t="str">
            <v>[7]HHP EUREKA CAMPAIGN RETAILERS JANUARY</v>
          </cell>
          <cell r="I424" t="str">
            <v>Closed</v>
          </cell>
          <cell r="J424" t="str">
            <v>fernandez.r</v>
          </cell>
          <cell r="K424">
            <v>45303</v>
          </cell>
          <cell r="L424">
            <v>45382</v>
          </cell>
          <cell r="M424" t="str">
            <v>G1</v>
          </cell>
          <cell r="N424" t="str">
            <v>DIGITAL MEDIA</v>
          </cell>
          <cell r="O424" t="str">
            <v>A240</v>
          </cell>
          <cell r="P424" t="str">
            <v>SEARCH</v>
          </cell>
          <cell r="Q424" t="str">
            <v>2024</v>
          </cell>
          <cell r="R424" t="str">
            <v>FA0IVV</v>
          </cell>
          <cell r="S424" t="str">
            <v>EMPRESAS LA POLAR S.A.</v>
          </cell>
          <cell r="T424" t="str">
            <v/>
          </cell>
        </row>
        <row r="425">
          <cell r="C425" t="str">
            <v>T24C850000100</v>
          </cell>
          <cell r="D425" t="str">
            <v>A24C850000150</v>
          </cell>
          <cell r="E425">
            <v>0</v>
          </cell>
          <cell r="F425">
            <v>1500000</v>
          </cell>
          <cell r="G425" t="str">
            <v>Mobile Phone</v>
          </cell>
          <cell r="H425" t="str">
            <v>[7]HHP EUREKA CAMPAIGN RETAILERS JANUARY</v>
          </cell>
          <cell r="I425" t="str">
            <v>Closed</v>
          </cell>
          <cell r="J425" t="str">
            <v>fernandez.r</v>
          </cell>
          <cell r="K425">
            <v>45303</v>
          </cell>
          <cell r="L425">
            <v>45382</v>
          </cell>
          <cell r="M425" t="str">
            <v>G1</v>
          </cell>
          <cell r="N425" t="str">
            <v>DIGITAL MEDIA</v>
          </cell>
          <cell r="O425" t="str">
            <v>A240</v>
          </cell>
          <cell r="P425" t="str">
            <v>SEARCH</v>
          </cell>
          <cell r="Q425" t="str">
            <v>2024</v>
          </cell>
          <cell r="R425" t="str">
            <v>FA0IVV</v>
          </cell>
          <cell r="S425" t="str">
            <v>EMPRESAS LA POLAR S.A.</v>
          </cell>
          <cell r="T425" t="str">
            <v/>
          </cell>
        </row>
        <row r="426">
          <cell r="C426" t="str">
            <v>T24C850000512</v>
          </cell>
          <cell r="D426" t="str">
            <v>A24C850000712</v>
          </cell>
          <cell r="E426">
            <v>3000000</v>
          </cell>
          <cell r="F426">
            <v>0</v>
          </cell>
          <cell r="G426" t="str">
            <v>Mobile Phone</v>
          </cell>
          <cell r="H426" t="str">
            <v>[4]A SERIES CAMPAIGN - RETAILERS - APRIL</v>
          </cell>
          <cell r="I426" t="str">
            <v>Completed</v>
          </cell>
          <cell r="J426" t="str">
            <v>fernandez.r</v>
          </cell>
          <cell r="K426">
            <v>45385</v>
          </cell>
          <cell r="L426">
            <v>45504</v>
          </cell>
          <cell r="M426" t="str">
            <v>G1</v>
          </cell>
          <cell r="N426" t="str">
            <v>DIGITAL MEDIA</v>
          </cell>
          <cell r="O426" t="str">
            <v>A250</v>
          </cell>
          <cell r="P426" t="str">
            <v>DISPLAY</v>
          </cell>
          <cell r="Q426" t="str">
            <v>2024</v>
          </cell>
          <cell r="R426" t="str">
            <v>FA0IVV</v>
          </cell>
          <cell r="S426" t="str">
            <v>EMPRESAS LA POLAR S.A.</v>
          </cell>
          <cell r="T426" t="str">
            <v/>
          </cell>
        </row>
        <row r="427">
          <cell r="C427" t="str">
            <v>T24C850000512</v>
          </cell>
          <cell r="D427" t="str">
            <v>A24C850000712</v>
          </cell>
          <cell r="E427">
            <v>1000000</v>
          </cell>
          <cell r="F427">
            <v>0</v>
          </cell>
          <cell r="G427" t="str">
            <v>Mobile Phone</v>
          </cell>
          <cell r="H427" t="str">
            <v>[4]A SERIES CAMPAIGN - RETAILERS - APRIL</v>
          </cell>
          <cell r="I427" t="str">
            <v>Completed</v>
          </cell>
          <cell r="J427" t="str">
            <v>fernandez.r</v>
          </cell>
          <cell r="K427">
            <v>45385</v>
          </cell>
          <cell r="L427">
            <v>45504</v>
          </cell>
          <cell r="M427" t="str">
            <v>G1</v>
          </cell>
          <cell r="N427" t="str">
            <v>DIGITAL MEDIA</v>
          </cell>
          <cell r="O427" t="str">
            <v>A230</v>
          </cell>
          <cell r="P427" t="str">
            <v>SOCIAL ADS</v>
          </cell>
          <cell r="Q427" t="str">
            <v>2024</v>
          </cell>
          <cell r="R427" t="str">
            <v>FA0IVV</v>
          </cell>
          <cell r="S427" t="str">
            <v>EMPRESAS LA POLAR S.A.</v>
          </cell>
          <cell r="T427" t="str">
            <v/>
          </cell>
        </row>
        <row r="428">
          <cell r="C428" t="str">
            <v>T24C850000512</v>
          </cell>
          <cell r="D428" t="str">
            <v>A24C850000712</v>
          </cell>
          <cell r="E428">
            <v>4000000</v>
          </cell>
          <cell r="F428">
            <v>0</v>
          </cell>
          <cell r="G428" t="str">
            <v>Mobile Phone</v>
          </cell>
          <cell r="H428" t="str">
            <v>[4]A SERIES CAMPAIGN - RETAILERS - APRIL</v>
          </cell>
          <cell r="I428" t="str">
            <v>Completed</v>
          </cell>
          <cell r="J428" t="str">
            <v>fernandez.r</v>
          </cell>
          <cell r="K428">
            <v>45385</v>
          </cell>
          <cell r="L428">
            <v>45504</v>
          </cell>
          <cell r="M428" t="str">
            <v>G1</v>
          </cell>
          <cell r="N428" t="str">
            <v>DIGITAL MEDIA</v>
          </cell>
          <cell r="O428" t="str">
            <v>A240</v>
          </cell>
          <cell r="P428" t="str">
            <v>SEARCH</v>
          </cell>
          <cell r="Q428" t="str">
            <v>2024</v>
          </cell>
          <cell r="R428" t="str">
            <v>FA0IVV</v>
          </cell>
          <cell r="S428" t="str">
            <v>EMPRESAS LA POLAR S.A.</v>
          </cell>
          <cell r="T428" t="str">
            <v/>
          </cell>
        </row>
        <row r="429">
          <cell r="C429" t="str">
            <v>T24C850000643</v>
          </cell>
          <cell r="D429" t="str">
            <v>A24C850000876</v>
          </cell>
          <cell r="E429">
            <v>2000000</v>
          </cell>
          <cell r="F429">
            <v>0</v>
          </cell>
          <cell r="G429" t="str">
            <v>Mobile Phone</v>
          </cell>
          <cell r="H429" t="str">
            <v>[3]HHP AON CAMPAIGN RETAILERS JUNE - RETAIL B</v>
          </cell>
          <cell r="I429" t="str">
            <v>Completed</v>
          </cell>
          <cell r="J429" t="str">
            <v>fernandez.r</v>
          </cell>
          <cell r="K429">
            <v>45444</v>
          </cell>
          <cell r="L429">
            <v>45535</v>
          </cell>
          <cell r="M429" t="str">
            <v>G1</v>
          </cell>
          <cell r="N429" t="str">
            <v>DIGITAL MEDIA</v>
          </cell>
          <cell r="O429" t="str">
            <v>A240</v>
          </cell>
          <cell r="P429" t="str">
            <v>SEARCH</v>
          </cell>
          <cell r="Q429" t="str">
            <v>2024</v>
          </cell>
          <cell r="R429" t="str">
            <v>FA0IVV</v>
          </cell>
          <cell r="S429" t="str">
            <v>EMPRESAS LA POLAR S.A.</v>
          </cell>
          <cell r="T429" t="str">
            <v/>
          </cell>
        </row>
        <row r="430">
          <cell r="C430" t="str">
            <v>T24C850001154</v>
          </cell>
          <cell r="D430" t="str">
            <v>A24C850001596</v>
          </cell>
          <cell r="E430">
            <v>2500000</v>
          </cell>
          <cell r="F430">
            <v>0</v>
          </cell>
          <cell r="G430" t="str">
            <v>Mobile Phone</v>
          </cell>
          <cell r="H430" t="str">
            <v>[6]HHP AON Q4 RETAIL CAMPAIGN 2024</v>
          </cell>
          <cell r="I430" t="str">
            <v>Completed</v>
          </cell>
          <cell r="J430" t="str">
            <v>m.lavanchy</v>
          </cell>
          <cell r="K430">
            <v>45566</v>
          </cell>
          <cell r="L430">
            <v>45657</v>
          </cell>
          <cell r="M430" t="str">
            <v>G1</v>
          </cell>
          <cell r="N430" t="str">
            <v>DIGITAL MEDIA</v>
          </cell>
          <cell r="O430" t="str">
            <v>A240</v>
          </cell>
          <cell r="P430" t="str">
            <v>SEARCH</v>
          </cell>
          <cell r="Q430" t="str">
            <v>2024</v>
          </cell>
          <cell r="R430" t="str">
            <v>FA0IVV</v>
          </cell>
          <cell r="S430" t="str">
            <v>EMPRESAS LA POLAR S.A.</v>
          </cell>
          <cell r="T430" t="str">
            <v/>
          </cell>
        </row>
        <row r="431">
          <cell r="C431" t="str">
            <v>T24C850001154</v>
          </cell>
          <cell r="D431" t="str">
            <v>A24C850001596</v>
          </cell>
          <cell r="E431">
            <v>1500000</v>
          </cell>
          <cell r="F431">
            <v>0</v>
          </cell>
          <cell r="G431" t="str">
            <v>Mobile Phone</v>
          </cell>
          <cell r="H431" t="str">
            <v>[6]HHP AON Q4 RETAIL CAMPAIGN 2024</v>
          </cell>
          <cell r="I431" t="str">
            <v>Completed</v>
          </cell>
          <cell r="J431" t="str">
            <v>m.lavanchy</v>
          </cell>
          <cell r="K431">
            <v>45566</v>
          </cell>
          <cell r="L431">
            <v>45657</v>
          </cell>
          <cell r="M431" t="str">
            <v>G1</v>
          </cell>
          <cell r="N431" t="str">
            <v>DIGITAL MEDIA</v>
          </cell>
          <cell r="O431" t="str">
            <v>A240</v>
          </cell>
          <cell r="P431" t="str">
            <v>SEARCH</v>
          </cell>
          <cell r="Q431" t="str">
            <v>2024</v>
          </cell>
          <cell r="R431" t="str">
            <v>FA0IVV</v>
          </cell>
          <cell r="S431" t="str">
            <v>EMPRESAS LA POLAR S.A.</v>
          </cell>
          <cell r="T431" t="str">
            <v/>
          </cell>
        </row>
        <row r="432">
          <cell r="C432" t="str">
            <v>T24C850001154</v>
          </cell>
          <cell r="D432" t="str">
            <v>A24C850001596</v>
          </cell>
          <cell r="E432">
            <v>2500000</v>
          </cell>
          <cell r="F432">
            <v>0</v>
          </cell>
          <cell r="G432" t="str">
            <v>Mobile Phone</v>
          </cell>
          <cell r="H432" t="str">
            <v>[6]HHP AON Q4 RETAIL CAMPAIGN 2024</v>
          </cell>
          <cell r="I432" t="str">
            <v>Completed</v>
          </cell>
          <cell r="J432" t="str">
            <v>m.lavanchy</v>
          </cell>
          <cell r="K432">
            <v>45566</v>
          </cell>
          <cell r="L432">
            <v>45657</v>
          </cell>
          <cell r="M432" t="str">
            <v>G1</v>
          </cell>
          <cell r="N432" t="str">
            <v>DIGITAL MEDIA</v>
          </cell>
          <cell r="O432" t="str">
            <v>A240</v>
          </cell>
          <cell r="P432" t="str">
            <v>SEARCH</v>
          </cell>
          <cell r="Q432" t="str">
            <v>2024</v>
          </cell>
          <cell r="R432" t="str">
            <v>FA0IVV</v>
          </cell>
          <cell r="S432" t="str">
            <v>EMPRESAS LA POLAR S.A.</v>
          </cell>
          <cell r="T432" t="str">
            <v/>
          </cell>
        </row>
        <row r="433">
          <cell r="C433" t="str">
            <v>T24C850001154</v>
          </cell>
          <cell r="D433" t="str">
            <v>A24C850001596</v>
          </cell>
          <cell r="E433">
            <v>2500000</v>
          </cell>
          <cell r="F433">
            <v>0</v>
          </cell>
          <cell r="G433" t="str">
            <v>Mobile Phone</v>
          </cell>
          <cell r="H433" t="str">
            <v>[6]HHP AON Q4 RETAIL CAMPAIGN 2024</v>
          </cell>
          <cell r="I433" t="str">
            <v>Completed</v>
          </cell>
          <cell r="J433" t="str">
            <v>m.lavanchy</v>
          </cell>
          <cell r="K433">
            <v>45566</v>
          </cell>
          <cell r="L433">
            <v>45657</v>
          </cell>
          <cell r="M433" t="str">
            <v>G1</v>
          </cell>
          <cell r="N433" t="str">
            <v>DIGITAL MEDIA</v>
          </cell>
          <cell r="O433" t="str">
            <v>A230</v>
          </cell>
          <cell r="P433" t="str">
            <v>SOCIAL ADS</v>
          </cell>
          <cell r="Q433" t="str">
            <v>2024</v>
          </cell>
          <cell r="R433" t="str">
            <v>FA0IVV</v>
          </cell>
          <cell r="S433" t="str">
            <v>EMPRESAS LA POLAR S.A.</v>
          </cell>
          <cell r="T433" t="str">
            <v/>
          </cell>
        </row>
        <row r="434">
          <cell r="C434" t="str">
            <v>T24C850001154</v>
          </cell>
          <cell r="D434" t="str">
            <v>A24C850001596</v>
          </cell>
          <cell r="E434">
            <v>1500000</v>
          </cell>
          <cell r="F434">
            <v>0</v>
          </cell>
          <cell r="G434" t="str">
            <v>Mobile Phone</v>
          </cell>
          <cell r="H434" t="str">
            <v>[6]HHP AON Q4 RETAIL CAMPAIGN 2024</v>
          </cell>
          <cell r="I434" t="str">
            <v>Completed</v>
          </cell>
          <cell r="J434" t="str">
            <v>m.lavanchy</v>
          </cell>
          <cell r="K434">
            <v>45566</v>
          </cell>
          <cell r="L434">
            <v>45657</v>
          </cell>
          <cell r="M434" t="str">
            <v>G1</v>
          </cell>
          <cell r="N434" t="str">
            <v>DIGITAL MEDIA</v>
          </cell>
          <cell r="O434" t="str">
            <v>A230</v>
          </cell>
          <cell r="P434" t="str">
            <v>SOCIAL ADS</v>
          </cell>
          <cell r="Q434" t="str">
            <v>2024</v>
          </cell>
          <cell r="R434" t="str">
            <v>FA0IVV</v>
          </cell>
          <cell r="S434" t="str">
            <v>EMPRESAS LA POLAR S.A.</v>
          </cell>
          <cell r="T434" t="str">
            <v/>
          </cell>
        </row>
        <row r="435">
          <cell r="C435" t="str">
            <v>T24C850001154</v>
          </cell>
          <cell r="D435" t="str">
            <v>A24C850001596</v>
          </cell>
          <cell r="E435">
            <v>2500000</v>
          </cell>
          <cell r="F435">
            <v>0</v>
          </cell>
          <cell r="G435" t="str">
            <v>Mobile Phone</v>
          </cell>
          <cell r="H435" t="str">
            <v>[6]HHP AON Q4 RETAIL CAMPAIGN 2024</v>
          </cell>
          <cell r="I435" t="str">
            <v>Completed</v>
          </cell>
          <cell r="J435" t="str">
            <v>m.lavanchy</v>
          </cell>
          <cell r="K435">
            <v>45566</v>
          </cell>
          <cell r="L435">
            <v>45657</v>
          </cell>
          <cell r="M435" t="str">
            <v>G1</v>
          </cell>
          <cell r="N435" t="str">
            <v>DIGITAL MEDIA</v>
          </cell>
          <cell r="O435" t="str">
            <v>A230</v>
          </cell>
          <cell r="P435" t="str">
            <v>SOCIAL ADS</v>
          </cell>
          <cell r="Q435" t="str">
            <v>2024</v>
          </cell>
          <cell r="R435" t="str">
            <v>FA0IVV</v>
          </cell>
          <cell r="S435" t="str">
            <v>EMPRESAS LA POLAR S.A.</v>
          </cell>
          <cell r="T435" t="str">
            <v/>
          </cell>
        </row>
        <row r="436">
          <cell r="C436" t="str">
            <v>T24C850001203</v>
          </cell>
          <cell r="D436" t="str">
            <v>A24C850001617</v>
          </cell>
          <cell r="E436">
            <v>1500000</v>
          </cell>
          <cell r="F436">
            <v>0</v>
          </cell>
          <cell r="G436" t="str">
            <v>Mobile Phone</v>
          </cell>
          <cell r="H436" t="str">
            <v>[5]SS WEEK HHP RETAILERS</v>
          </cell>
          <cell r="I436" t="str">
            <v>Completed</v>
          </cell>
          <cell r="J436" t="str">
            <v>m.lavanchy</v>
          </cell>
          <cell r="K436">
            <v>45577</v>
          </cell>
          <cell r="L436">
            <v>45657</v>
          </cell>
          <cell r="M436" t="str">
            <v>G1</v>
          </cell>
          <cell r="N436" t="str">
            <v>DIGITAL MEDIA</v>
          </cell>
          <cell r="O436" t="str">
            <v>A250</v>
          </cell>
          <cell r="P436" t="str">
            <v>DISPLAY</v>
          </cell>
          <cell r="Q436" t="str">
            <v>2024</v>
          </cell>
          <cell r="R436" t="str">
            <v>FA0IVV</v>
          </cell>
          <cell r="S436" t="str">
            <v>EMPRESAS LA POLAR S.A.</v>
          </cell>
          <cell r="T436" t="str">
            <v/>
          </cell>
        </row>
        <row r="437">
          <cell r="C437" t="str">
            <v>T22C850002031</v>
          </cell>
          <cell r="D437" t="str">
            <v>A22C850003287</v>
          </cell>
          <cell r="E437">
            <v>-2500000</v>
          </cell>
          <cell r="F437">
            <v>0</v>
          </cell>
          <cell r="G437" t="str">
            <v>Mobile Phone</v>
          </cell>
          <cell r="H437" t="str">
            <v>[1]PLAN PROPOSAL OCTOBER Q4 2022 WEARABLE RETAIL COMKTG</v>
          </cell>
          <cell r="I437" t="str">
            <v>Closed</v>
          </cell>
          <cell r="J437" t="str">
            <v>zapata.e</v>
          </cell>
          <cell r="K437">
            <v>44865</v>
          </cell>
          <cell r="L437">
            <v>44925</v>
          </cell>
          <cell r="M437" t="str">
            <v>G1</v>
          </cell>
          <cell r="N437" t="str">
            <v>DIGITAL MEDIA</v>
          </cell>
          <cell r="O437" t="str">
            <v>A230</v>
          </cell>
          <cell r="P437" t="str">
            <v>SOCIAL ADS</v>
          </cell>
          <cell r="Q437" t="str">
            <v>2024</v>
          </cell>
          <cell r="R437" t="str">
            <v>FZX363</v>
          </cell>
          <cell r="S437" t="str">
            <v>Falabella Retail S.A.</v>
          </cell>
          <cell r="T437" t="str">
            <v/>
          </cell>
        </row>
        <row r="438">
          <cell r="C438" t="str">
            <v>T23C850000380</v>
          </cell>
          <cell r="D438" t="str">
            <v>A23C850000624</v>
          </cell>
          <cell r="E438">
            <v>-2000000</v>
          </cell>
          <cell r="F438">
            <v>0</v>
          </cell>
          <cell r="G438" t="str">
            <v>Mobile Phone</v>
          </cell>
          <cell r="H438" t="str">
            <v>[1]WEAR/M.HASBUN/RETAIL_MEDIA_ADVERTIZING_EXTRA_FEBRUARY_23</v>
          </cell>
          <cell r="I438" t="str">
            <v>Closed</v>
          </cell>
          <cell r="J438" t="str">
            <v>m.hasbun</v>
          </cell>
          <cell r="K438">
            <v>44985</v>
          </cell>
          <cell r="L438">
            <v>45046</v>
          </cell>
          <cell r="M438" t="str">
            <v>G1</v>
          </cell>
          <cell r="N438" t="str">
            <v>DIGITAL MEDIA</v>
          </cell>
          <cell r="O438" t="str">
            <v>A250</v>
          </cell>
          <cell r="P438" t="str">
            <v>DISPLAY</v>
          </cell>
          <cell r="Q438" t="str">
            <v>2024</v>
          </cell>
          <cell r="R438" t="str">
            <v>FZX363</v>
          </cell>
          <cell r="S438" t="str">
            <v>Falabella Retail S.A.</v>
          </cell>
          <cell r="T438" t="str">
            <v/>
          </cell>
        </row>
        <row r="439">
          <cell r="C439" t="str">
            <v>T23C850000380</v>
          </cell>
          <cell r="D439" t="str">
            <v>A23C850000624</v>
          </cell>
          <cell r="E439">
            <v>-2000000</v>
          </cell>
          <cell r="F439">
            <v>0</v>
          </cell>
          <cell r="G439" t="str">
            <v>Mobile Phone</v>
          </cell>
          <cell r="H439" t="str">
            <v>[1]WEAR/M.HASBUN/RETAIL_MEDIA_ADVERTIZING_EXTRA_FEBRUARY_23</v>
          </cell>
          <cell r="I439" t="str">
            <v>Closed</v>
          </cell>
          <cell r="J439" t="str">
            <v>m.hasbun</v>
          </cell>
          <cell r="K439">
            <v>44985</v>
          </cell>
          <cell r="L439">
            <v>45046</v>
          </cell>
          <cell r="M439" t="str">
            <v>G1</v>
          </cell>
          <cell r="N439" t="str">
            <v>DIGITAL MEDIA</v>
          </cell>
          <cell r="O439" t="str">
            <v>A240</v>
          </cell>
          <cell r="P439" t="str">
            <v>SEARCH</v>
          </cell>
          <cell r="Q439" t="str">
            <v>2024</v>
          </cell>
          <cell r="R439" t="str">
            <v>FZX363</v>
          </cell>
          <cell r="S439" t="str">
            <v>Falabella Retail S.A.</v>
          </cell>
          <cell r="T439" t="str">
            <v/>
          </cell>
        </row>
        <row r="440">
          <cell r="C440" t="str">
            <v>T23C850000384</v>
          </cell>
          <cell r="D440" t="str">
            <v>A23C850000635</v>
          </cell>
          <cell r="E440">
            <v>0</v>
          </cell>
          <cell r="F440">
            <v>3850000</v>
          </cell>
          <cell r="G440" t="str">
            <v>Mobile Phone</v>
          </cell>
          <cell r="H440" t="str">
            <v>[1]HHP/M.HASBUN/RETAIL_MEDIA_ADVERTIZING_DIRECT_MKT_MARCH_23</v>
          </cell>
          <cell r="I440" t="str">
            <v>Closed</v>
          </cell>
          <cell r="J440" t="str">
            <v>m.hasbun</v>
          </cell>
          <cell r="K440">
            <v>44986</v>
          </cell>
          <cell r="L440">
            <v>45077</v>
          </cell>
          <cell r="M440" t="str">
            <v>G1</v>
          </cell>
          <cell r="N440" t="str">
            <v>DIGITAL MEDIA</v>
          </cell>
          <cell r="O440" t="str">
            <v>A250</v>
          </cell>
          <cell r="P440" t="str">
            <v>DISPLAY</v>
          </cell>
          <cell r="Q440" t="str">
            <v>2024</v>
          </cell>
          <cell r="R440" t="str">
            <v>FZX363</v>
          </cell>
          <cell r="S440" t="str">
            <v>Falabella Retail S.A.</v>
          </cell>
          <cell r="T440" t="str">
            <v/>
          </cell>
        </row>
        <row r="441">
          <cell r="C441" t="str">
            <v>T23C850000384</v>
          </cell>
          <cell r="D441" t="str">
            <v>A23C850000635</v>
          </cell>
          <cell r="E441">
            <v>0</v>
          </cell>
          <cell r="F441">
            <v>1650000</v>
          </cell>
          <cell r="G441" t="str">
            <v>Mobile Phone</v>
          </cell>
          <cell r="H441" t="str">
            <v>[1]HHP/M.HASBUN/RETAIL_MEDIA_ADVERTIZING_DIRECT_MKT_MARCH_23</v>
          </cell>
          <cell r="I441" t="str">
            <v>Closed</v>
          </cell>
          <cell r="J441" t="str">
            <v>m.hasbun</v>
          </cell>
          <cell r="K441">
            <v>44986</v>
          </cell>
          <cell r="L441">
            <v>45077</v>
          </cell>
          <cell r="M441" t="str">
            <v>G1</v>
          </cell>
          <cell r="N441" t="str">
            <v>DIGITAL MEDIA</v>
          </cell>
          <cell r="O441" t="str">
            <v>A250</v>
          </cell>
          <cell r="P441" t="str">
            <v>DISPLAY</v>
          </cell>
          <cell r="Q441" t="str">
            <v>2024</v>
          </cell>
          <cell r="R441" t="str">
            <v>FZX363</v>
          </cell>
          <cell r="S441" t="str">
            <v>Falabella Retail S.A.</v>
          </cell>
          <cell r="T441" t="str">
            <v/>
          </cell>
        </row>
        <row r="442">
          <cell r="C442" t="str">
            <v>T23C850000384</v>
          </cell>
          <cell r="D442" t="str">
            <v>A23C850000635</v>
          </cell>
          <cell r="E442">
            <v>0</v>
          </cell>
          <cell r="F442">
            <v>3500000</v>
          </cell>
          <cell r="G442" t="str">
            <v>Mobile Phone</v>
          </cell>
          <cell r="H442" t="str">
            <v>[1]HHP/M.HASBUN/RETAIL_MEDIA_ADVERTIZING_DIRECT_MKT_MARCH_23</v>
          </cell>
          <cell r="I442" t="str">
            <v>Closed</v>
          </cell>
          <cell r="J442" t="str">
            <v>m.hasbun</v>
          </cell>
          <cell r="K442">
            <v>44986</v>
          </cell>
          <cell r="L442">
            <v>45077</v>
          </cell>
          <cell r="M442" t="str">
            <v>G1</v>
          </cell>
          <cell r="N442" t="str">
            <v>DIGITAL MEDIA</v>
          </cell>
          <cell r="O442" t="str">
            <v>A250</v>
          </cell>
          <cell r="P442" t="str">
            <v>DISPLAY</v>
          </cell>
          <cell r="Q442" t="str">
            <v>2024</v>
          </cell>
          <cell r="R442" t="str">
            <v>FZX363</v>
          </cell>
          <cell r="S442" t="str">
            <v>Falabella Retail S.A.</v>
          </cell>
          <cell r="T442" t="str">
            <v/>
          </cell>
        </row>
        <row r="443">
          <cell r="C443" t="str">
            <v>T23C850000399</v>
          </cell>
          <cell r="D443" t="str">
            <v>A23C850000651</v>
          </cell>
          <cell r="E443">
            <v>-2000000</v>
          </cell>
          <cell r="F443">
            <v>0</v>
          </cell>
          <cell r="G443" t="str">
            <v>Mobile Phone</v>
          </cell>
          <cell r="H443" t="str">
            <v>[1]PLAN PROPOSAL MARCH2023 ACCESSORY RETAIL COMKTG</v>
          </cell>
          <cell r="I443" t="str">
            <v>Closed</v>
          </cell>
          <cell r="J443" t="str">
            <v>zapata.e</v>
          </cell>
          <cell r="K443">
            <v>44991</v>
          </cell>
          <cell r="L443">
            <v>45077</v>
          </cell>
          <cell r="M443" t="str">
            <v>G1</v>
          </cell>
          <cell r="N443" t="str">
            <v>DIGITAL MEDIA</v>
          </cell>
          <cell r="O443" t="str">
            <v>A240</v>
          </cell>
          <cell r="P443" t="str">
            <v>SEARCH</v>
          </cell>
          <cell r="Q443" t="str">
            <v>2024</v>
          </cell>
          <cell r="R443" t="str">
            <v>FZX363</v>
          </cell>
          <cell r="S443" t="str">
            <v>Falabella Retail S.A.</v>
          </cell>
          <cell r="T443" t="str">
            <v/>
          </cell>
        </row>
        <row r="444">
          <cell r="C444" t="str">
            <v>T23C850000508</v>
          </cell>
          <cell r="D444" t="str">
            <v>A23C850000776</v>
          </cell>
          <cell r="E444">
            <v>0</v>
          </cell>
          <cell r="F444">
            <v>85214</v>
          </cell>
          <cell r="G444" t="str">
            <v>Mobile Phone</v>
          </cell>
          <cell r="H444" t="str">
            <v>[1]2ND PLAN PROPOSAL MARCH 2023 HHP RETAIL COMKTG</v>
          </cell>
          <cell r="I444" t="str">
            <v>Closed</v>
          </cell>
          <cell r="J444" t="str">
            <v>zapata.e</v>
          </cell>
          <cell r="K444">
            <v>45012</v>
          </cell>
          <cell r="L444">
            <v>45104</v>
          </cell>
          <cell r="M444" t="str">
            <v>G1</v>
          </cell>
          <cell r="N444" t="str">
            <v>DIGITAL MEDIA</v>
          </cell>
          <cell r="O444" t="str">
            <v>A250</v>
          </cell>
          <cell r="P444" t="str">
            <v>DISPLAY</v>
          </cell>
          <cell r="Q444" t="str">
            <v>2024</v>
          </cell>
          <cell r="R444" t="str">
            <v>FZX363</v>
          </cell>
          <cell r="S444" t="str">
            <v>Falabella Retail S.A.</v>
          </cell>
          <cell r="T444" t="str">
            <v/>
          </cell>
        </row>
        <row r="445">
          <cell r="C445" t="str">
            <v>T23C850000508</v>
          </cell>
          <cell r="D445" t="str">
            <v>A23C850000776</v>
          </cell>
          <cell r="E445">
            <v>0</v>
          </cell>
          <cell r="F445">
            <v>284437</v>
          </cell>
          <cell r="G445" t="str">
            <v>Mobile Phone</v>
          </cell>
          <cell r="H445" t="str">
            <v>[1]2ND PLAN PROPOSAL MARCH 2023 HHP RETAIL COMKTG</v>
          </cell>
          <cell r="I445" t="str">
            <v>Closed</v>
          </cell>
          <cell r="J445" t="str">
            <v>zapata.e</v>
          </cell>
          <cell r="K445">
            <v>45012</v>
          </cell>
          <cell r="L445">
            <v>45104</v>
          </cell>
          <cell r="M445" t="str">
            <v>G1</v>
          </cell>
          <cell r="N445" t="str">
            <v>DIGITAL MEDIA</v>
          </cell>
          <cell r="O445" t="str">
            <v>A240</v>
          </cell>
          <cell r="P445" t="str">
            <v>SEARCH</v>
          </cell>
          <cell r="Q445" t="str">
            <v>2024</v>
          </cell>
          <cell r="R445" t="str">
            <v>FZX363</v>
          </cell>
          <cell r="S445" t="str">
            <v>Falabella Retail S.A.</v>
          </cell>
          <cell r="T445" t="str">
            <v/>
          </cell>
        </row>
        <row r="446">
          <cell r="C446" t="str">
            <v>T23C850000508</v>
          </cell>
          <cell r="D446" t="str">
            <v>A23C850000776</v>
          </cell>
          <cell r="E446">
            <v>0</v>
          </cell>
          <cell r="F446">
            <v>215563</v>
          </cell>
          <cell r="G446" t="str">
            <v>Mobile Phone</v>
          </cell>
          <cell r="H446" t="str">
            <v>[1]2ND PLAN PROPOSAL MARCH 2023 HHP RETAIL COMKTG</v>
          </cell>
          <cell r="I446" t="str">
            <v>Closed</v>
          </cell>
          <cell r="J446" t="str">
            <v>zapata.e</v>
          </cell>
          <cell r="K446">
            <v>45012</v>
          </cell>
          <cell r="L446">
            <v>45104</v>
          </cell>
          <cell r="M446" t="str">
            <v>G1</v>
          </cell>
          <cell r="N446" t="str">
            <v>DIGITAL MEDIA</v>
          </cell>
          <cell r="O446" t="str">
            <v>A240</v>
          </cell>
          <cell r="P446" t="str">
            <v>SEARCH</v>
          </cell>
          <cell r="Q446" t="str">
            <v>2024</v>
          </cell>
          <cell r="R446" t="str">
            <v>FZX363</v>
          </cell>
          <cell r="S446" t="str">
            <v>Falabella Retail S.A.</v>
          </cell>
          <cell r="T446" t="str">
            <v/>
          </cell>
        </row>
        <row r="447">
          <cell r="C447" t="str">
            <v>T23C850000658</v>
          </cell>
          <cell r="D447" t="str">
            <v>A23C850000923</v>
          </cell>
          <cell r="E447">
            <v>-410000</v>
          </cell>
          <cell r="F447">
            <v>0</v>
          </cell>
          <cell r="G447" t="str">
            <v>Mobile Phone</v>
          </cell>
          <cell r="H447" t="str">
            <v>[1]PLAN PROPOSAL APRIL 2023 WEARABLE RETAIL Q2_COMKTG</v>
          </cell>
          <cell r="I447" t="str">
            <v>Closed</v>
          </cell>
          <cell r="J447" t="str">
            <v>zapata.e</v>
          </cell>
          <cell r="K447">
            <v>45027</v>
          </cell>
          <cell r="L447">
            <v>45137</v>
          </cell>
          <cell r="M447" t="str">
            <v>G1</v>
          </cell>
          <cell r="N447" t="str">
            <v>DIGITAL MEDIA</v>
          </cell>
          <cell r="O447" t="str">
            <v>A250</v>
          </cell>
          <cell r="P447" t="str">
            <v>DISPLAY</v>
          </cell>
          <cell r="Q447" t="str">
            <v>2024</v>
          </cell>
          <cell r="R447" t="str">
            <v>FZX363</v>
          </cell>
          <cell r="S447" t="str">
            <v>Falabella Retail S.A.</v>
          </cell>
          <cell r="T447" t="str">
            <v/>
          </cell>
        </row>
        <row r="448">
          <cell r="C448" t="str">
            <v>T23C850000658</v>
          </cell>
          <cell r="D448" t="str">
            <v>A23C850000923</v>
          </cell>
          <cell r="E448">
            <v>-1744746</v>
          </cell>
          <cell r="F448">
            <v>0</v>
          </cell>
          <cell r="G448" t="str">
            <v>Mobile Phone</v>
          </cell>
          <cell r="H448" t="str">
            <v>[1]PLAN PROPOSAL APRIL 2023 WEARABLE RETAIL Q2_COMKTG</v>
          </cell>
          <cell r="I448" t="str">
            <v>Closed</v>
          </cell>
          <cell r="J448" t="str">
            <v>zapata.e</v>
          </cell>
          <cell r="K448">
            <v>45027</v>
          </cell>
          <cell r="L448">
            <v>45137</v>
          </cell>
          <cell r="M448" t="str">
            <v>G1</v>
          </cell>
          <cell r="N448" t="str">
            <v>DIGITAL MEDIA</v>
          </cell>
          <cell r="O448" t="str">
            <v>A240</v>
          </cell>
          <cell r="P448" t="str">
            <v>SEARCH</v>
          </cell>
          <cell r="Q448" t="str">
            <v>2024</v>
          </cell>
          <cell r="R448" t="str">
            <v>FZX363</v>
          </cell>
          <cell r="S448" t="str">
            <v>Falabella Retail S.A.</v>
          </cell>
          <cell r="T448" t="str">
            <v/>
          </cell>
        </row>
        <row r="449">
          <cell r="C449" t="str">
            <v>T23C850000658</v>
          </cell>
          <cell r="D449" t="str">
            <v>A23C850000923</v>
          </cell>
          <cell r="E449">
            <v>-1512038</v>
          </cell>
          <cell r="F449">
            <v>0</v>
          </cell>
          <cell r="G449" t="str">
            <v>Mobile Phone</v>
          </cell>
          <cell r="H449" t="str">
            <v>[1]PLAN PROPOSAL APRIL 2023 WEARABLE RETAIL Q2_COMKTG</v>
          </cell>
          <cell r="I449" t="str">
            <v>Closed</v>
          </cell>
          <cell r="J449" t="str">
            <v>zapata.e</v>
          </cell>
          <cell r="K449">
            <v>45027</v>
          </cell>
          <cell r="L449">
            <v>45137</v>
          </cell>
          <cell r="M449" t="str">
            <v>G1</v>
          </cell>
          <cell r="N449" t="str">
            <v>DIGITAL MEDIA</v>
          </cell>
          <cell r="O449" t="str">
            <v>A230</v>
          </cell>
          <cell r="P449" t="str">
            <v>SOCIAL ADS</v>
          </cell>
          <cell r="Q449" t="str">
            <v>2024</v>
          </cell>
          <cell r="R449" t="str">
            <v>FZX363</v>
          </cell>
          <cell r="S449" t="str">
            <v>Falabella Retail S.A.</v>
          </cell>
          <cell r="T449" t="str">
            <v/>
          </cell>
        </row>
        <row r="450">
          <cell r="C450" t="str">
            <v>T23C850000663</v>
          </cell>
          <cell r="D450" t="str">
            <v>A23C850000925</v>
          </cell>
          <cell r="E450">
            <v>-999300</v>
          </cell>
          <cell r="F450">
            <v>0</v>
          </cell>
          <cell r="G450" t="str">
            <v>Mobile Phone</v>
          </cell>
          <cell r="H450" t="str">
            <v>[1]PLAN PROPOSAL APRIL 2023 TABLET RETAIL Q2_COMKTG</v>
          </cell>
          <cell r="I450" t="str">
            <v>Closed</v>
          </cell>
          <cell r="J450" t="str">
            <v>zapata.e</v>
          </cell>
          <cell r="K450">
            <v>45027</v>
          </cell>
          <cell r="L450">
            <v>45137</v>
          </cell>
          <cell r="M450" t="str">
            <v>G1</v>
          </cell>
          <cell r="N450" t="str">
            <v>DIGITAL MEDIA</v>
          </cell>
          <cell r="O450" t="str">
            <v>A250</v>
          </cell>
          <cell r="P450" t="str">
            <v>DISPLAY</v>
          </cell>
          <cell r="Q450" t="str">
            <v>2024</v>
          </cell>
          <cell r="R450" t="str">
            <v>FZX363</v>
          </cell>
          <cell r="S450" t="str">
            <v>Falabella Retail S.A.</v>
          </cell>
          <cell r="T450" t="str">
            <v/>
          </cell>
        </row>
        <row r="451">
          <cell r="C451" t="str">
            <v>T23C850000663</v>
          </cell>
          <cell r="D451" t="str">
            <v>A23C850000925</v>
          </cell>
          <cell r="E451">
            <v>-4000000</v>
          </cell>
          <cell r="F451">
            <v>0</v>
          </cell>
          <cell r="G451" t="str">
            <v>Mobile Phone</v>
          </cell>
          <cell r="H451" t="str">
            <v>[1]PLAN PROPOSAL APRIL 2023 TABLET RETAIL Q2_COMKTG</v>
          </cell>
          <cell r="I451" t="str">
            <v>Closed</v>
          </cell>
          <cell r="J451" t="str">
            <v>zapata.e</v>
          </cell>
          <cell r="K451">
            <v>45027</v>
          </cell>
          <cell r="L451">
            <v>45137</v>
          </cell>
          <cell r="M451" t="str">
            <v>G1</v>
          </cell>
          <cell r="N451" t="str">
            <v>DIGITAL MEDIA</v>
          </cell>
          <cell r="O451" t="str">
            <v>A240</v>
          </cell>
          <cell r="P451" t="str">
            <v>SEARCH</v>
          </cell>
          <cell r="Q451" t="str">
            <v>2024</v>
          </cell>
          <cell r="R451" t="str">
            <v>FZX363</v>
          </cell>
          <cell r="S451" t="str">
            <v>Falabella Retail S.A.</v>
          </cell>
          <cell r="T451" t="str">
            <v/>
          </cell>
        </row>
        <row r="452">
          <cell r="C452" t="str">
            <v>T23C850000663</v>
          </cell>
          <cell r="D452" t="str">
            <v>A23C850000925</v>
          </cell>
          <cell r="E452">
            <v>-2000000</v>
          </cell>
          <cell r="F452">
            <v>0</v>
          </cell>
          <cell r="G452" t="str">
            <v>Mobile Phone</v>
          </cell>
          <cell r="H452" t="str">
            <v>[1]PLAN PROPOSAL APRIL 2023 TABLET RETAIL Q2_COMKTG</v>
          </cell>
          <cell r="I452" t="str">
            <v>Closed</v>
          </cell>
          <cell r="J452" t="str">
            <v>zapata.e</v>
          </cell>
          <cell r="K452">
            <v>45027</v>
          </cell>
          <cell r="L452">
            <v>45137</v>
          </cell>
          <cell r="M452" t="str">
            <v>G1</v>
          </cell>
          <cell r="N452" t="str">
            <v>DIGITAL MEDIA</v>
          </cell>
          <cell r="O452" t="str">
            <v>A230</v>
          </cell>
          <cell r="P452" t="str">
            <v>SOCIAL ADS</v>
          </cell>
          <cell r="Q452" t="str">
            <v>2024</v>
          </cell>
          <cell r="R452" t="str">
            <v>FZX363</v>
          </cell>
          <cell r="S452" t="str">
            <v>Falabella Retail S.A.</v>
          </cell>
          <cell r="T452" t="str">
            <v/>
          </cell>
        </row>
        <row r="453">
          <cell r="C453" t="str">
            <v>T23C850000675</v>
          </cell>
          <cell r="D453" t="str">
            <v>A23C850000909</v>
          </cell>
          <cell r="E453">
            <v>-317725</v>
          </cell>
          <cell r="F453">
            <v>0</v>
          </cell>
          <cell r="G453" t="str">
            <v>Computer</v>
          </cell>
          <cell r="H453" t="str">
            <v>[1]PLAN PROPOSAL APRIL 2023 NOTE PC RETAIL Q2_COMKTG</v>
          </cell>
          <cell r="I453" t="str">
            <v>Closed</v>
          </cell>
          <cell r="J453" t="str">
            <v>zapata.e</v>
          </cell>
          <cell r="K453">
            <v>45027</v>
          </cell>
          <cell r="L453">
            <v>45137</v>
          </cell>
          <cell r="M453" t="str">
            <v>C3</v>
          </cell>
          <cell r="N453" t="str">
            <v>DIGITAL MEDIA</v>
          </cell>
          <cell r="O453" t="str">
            <v>A250</v>
          </cell>
          <cell r="P453" t="str">
            <v>DISPLAY</v>
          </cell>
          <cell r="Q453" t="str">
            <v>2024</v>
          </cell>
          <cell r="R453" t="str">
            <v>FZX363</v>
          </cell>
          <cell r="S453" t="str">
            <v>Falabella Retail S.A.</v>
          </cell>
          <cell r="T453" t="str">
            <v/>
          </cell>
        </row>
        <row r="454">
          <cell r="C454" t="str">
            <v>T23C850000825</v>
          </cell>
          <cell r="D454" t="str">
            <v>A23C850001189</v>
          </cell>
          <cell r="E454">
            <v>-5000000</v>
          </cell>
          <cell r="F454">
            <v>0</v>
          </cell>
          <cell r="G454" t="str">
            <v>Mobile Phone</v>
          </cell>
          <cell r="H454" t="str">
            <v>[1]'COPY OF PP HHP FALABELLA MAY S23 ULTRA</v>
          </cell>
          <cell r="I454" t="str">
            <v>Closed</v>
          </cell>
          <cell r="J454" t="str">
            <v>sjara.mella</v>
          </cell>
          <cell r="K454">
            <v>45063</v>
          </cell>
          <cell r="L454">
            <v>45107</v>
          </cell>
          <cell r="M454" t="str">
            <v>G1</v>
          </cell>
          <cell r="N454" t="str">
            <v>RETAIL</v>
          </cell>
          <cell r="O454" t="str">
            <v>B120</v>
          </cell>
          <cell r="P454" t="str">
            <v>SHELF MERCHANDISING</v>
          </cell>
          <cell r="Q454" t="str">
            <v>2024</v>
          </cell>
          <cell r="R454" t="str">
            <v>FZX363</v>
          </cell>
          <cell r="S454" t="str">
            <v>Falabella Retail S.A.</v>
          </cell>
          <cell r="T454" t="str">
            <v/>
          </cell>
        </row>
        <row r="455">
          <cell r="C455" t="str">
            <v>T23C850000825</v>
          </cell>
          <cell r="D455" t="str">
            <v>A23C850001189</v>
          </cell>
          <cell r="E455">
            <v>0</v>
          </cell>
          <cell r="F455">
            <v>1000000</v>
          </cell>
          <cell r="G455" t="str">
            <v>Mobile Phone</v>
          </cell>
          <cell r="H455" t="str">
            <v>[1]'COPY OF PP HHP FALABELLA MAY S23 ULTRA</v>
          </cell>
          <cell r="I455" t="str">
            <v>Closed</v>
          </cell>
          <cell r="J455" t="str">
            <v>sjara.mella</v>
          </cell>
          <cell r="K455">
            <v>45063</v>
          </cell>
          <cell r="L455">
            <v>45107</v>
          </cell>
          <cell r="M455" t="str">
            <v>G1</v>
          </cell>
          <cell r="N455" t="str">
            <v>DIGITAL MEDIA</v>
          </cell>
          <cell r="O455" t="str">
            <v>A260</v>
          </cell>
          <cell r="P455" t="str">
            <v>ONLINE VIDEO</v>
          </cell>
          <cell r="Q455" t="str">
            <v>2024</v>
          </cell>
          <cell r="R455" t="str">
            <v>FZX363</v>
          </cell>
          <cell r="S455" t="str">
            <v>Falabella Retail S.A.</v>
          </cell>
          <cell r="T455" t="str">
            <v/>
          </cell>
        </row>
        <row r="456">
          <cell r="C456" t="str">
            <v>T23C850000825</v>
          </cell>
          <cell r="D456" t="str">
            <v>A23C850001189</v>
          </cell>
          <cell r="E456">
            <v>0</v>
          </cell>
          <cell r="F456">
            <v>3000000</v>
          </cell>
          <cell r="G456" t="str">
            <v>Mobile Phone</v>
          </cell>
          <cell r="H456" t="str">
            <v>[1]'COPY OF PP HHP FALABELLA MAY S23 ULTRA</v>
          </cell>
          <cell r="I456" t="str">
            <v>Closed</v>
          </cell>
          <cell r="J456" t="str">
            <v>sjara.mella</v>
          </cell>
          <cell r="K456">
            <v>45063</v>
          </cell>
          <cell r="L456">
            <v>45107</v>
          </cell>
          <cell r="M456" t="str">
            <v>G1</v>
          </cell>
          <cell r="N456" t="str">
            <v>DIGITAL MEDIA</v>
          </cell>
          <cell r="O456" t="str">
            <v>A250</v>
          </cell>
          <cell r="P456" t="str">
            <v>DISPLAY</v>
          </cell>
          <cell r="Q456" t="str">
            <v>2024</v>
          </cell>
          <cell r="R456" t="str">
            <v>FZX363</v>
          </cell>
          <cell r="S456" t="str">
            <v>Falabella Retail S.A.</v>
          </cell>
          <cell r="T456" t="str">
            <v/>
          </cell>
        </row>
        <row r="457">
          <cell r="C457" t="str">
            <v>T23C850000825</v>
          </cell>
          <cell r="D457" t="str">
            <v>A23C850001189</v>
          </cell>
          <cell r="E457">
            <v>0</v>
          </cell>
          <cell r="F457">
            <v>7000000</v>
          </cell>
          <cell r="G457" t="str">
            <v>Mobile Phone</v>
          </cell>
          <cell r="H457" t="str">
            <v>[1]'COPY OF PP HHP FALABELLA MAY S23 ULTRA</v>
          </cell>
          <cell r="I457" t="str">
            <v>Closed</v>
          </cell>
          <cell r="J457" t="str">
            <v>sjara.mella</v>
          </cell>
          <cell r="K457">
            <v>45063</v>
          </cell>
          <cell r="L457">
            <v>45107</v>
          </cell>
          <cell r="M457" t="str">
            <v>G1</v>
          </cell>
          <cell r="N457" t="str">
            <v>DIGITAL MEDIA</v>
          </cell>
          <cell r="O457" t="str">
            <v>A230</v>
          </cell>
          <cell r="P457" t="str">
            <v>SOCIAL ADS</v>
          </cell>
          <cell r="Q457" t="str">
            <v>2024</v>
          </cell>
          <cell r="R457" t="str">
            <v>FZX363</v>
          </cell>
          <cell r="S457" t="str">
            <v>Falabella Retail S.A.</v>
          </cell>
          <cell r="T457" t="str">
            <v/>
          </cell>
        </row>
        <row r="458">
          <cell r="C458" t="str">
            <v>T23C850000981</v>
          </cell>
          <cell r="D458" t="str">
            <v>A23C850001487</v>
          </cell>
          <cell r="E458">
            <v>0</v>
          </cell>
          <cell r="F458">
            <v>2649624</v>
          </cell>
          <cell r="G458" t="str">
            <v>Mobile Phone</v>
          </cell>
          <cell r="H458" t="str">
            <v>[1]HHP /TOMAS.CANALS/FALABELLA PARQUE ARAUCO FLAGSHIP MODULE-MX</v>
          </cell>
          <cell r="I458" t="str">
            <v>Closed</v>
          </cell>
          <cell r="J458" t="str">
            <v>y.malave</v>
          </cell>
          <cell r="K458">
            <v>45108</v>
          </cell>
          <cell r="L458">
            <v>45291</v>
          </cell>
          <cell r="M458" t="str">
            <v>G1</v>
          </cell>
          <cell r="N458" t="str">
            <v>RETAIL</v>
          </cell>
          <cell r="O458" t="str">
            <v>B120</v>
          </cell>
          <cell r="P458" t="str">
            <v>SHELF MERCHANDISING</v>
          </cell>
          <cell r="Q458" t="str">
            <v>2024</v>
          </cell>
          <cell r="R458" t="str">
            <v>FZX363</v>
          </cell>
          <cell r="S458" t="str">
            <v>Falabella Retail S.A.</v>
          </cell>
          <cell r="T458" t="str">
            <v/>
          </cell>
        </row>
        <row r="459">
          <cell r="C459" t="str">
            <v>T23C850000981</v>
          </cell>
          <cell r="D459" t="str">
            <v>A23C850001487</v>
          </cell>
          <cell r="E459">
            <v>-724925</v>
          </cell>
          <cell r="F459">
            <v>0</v>
          </cell>
          <cell r="G459" t="str">
            <v>Mobile Phone</v>
          </cell>
          <cell r="H459" t="str">
            <v>[1]HHP /TOMAS.CANALS/FALABELLA PARQUE ARAUCO FLAGSHIP MODULE-MX</v>
          </cell>
          <cell r="I459" t="str">
            <v>Closed</v>
          </cell>
          <cell r="J459" t="str">
            <v>y.malave</v>
          </cell>
          <cell r="K459">
            <v>45108</v>
          </cell>
          <cell r="L459">
            <v>45291</v>
          </cell>
          <cell r="M459" t="str">
            <v>G1</v>
          </cell>
          <cell r="N459" t="str">
            <v>RETAIL</v>
          </cell>
          <cell r="O459" t="str">
            <v>B120</v>
          </cell>
          <cell r="P459" t="str">
            <v>SHELF MERCHANDISING</v>
          </cell>
          <cell r="Q459" t="str">
            <v>2024</v>
          </cell>
          <cell r="R459" t="str">
            <v>FZX363</v>
          </cell>
          <cell r="S459" t="str">
            <v>Falabella Retail S.A.</v>
          </cell>
          <cell r="T459" t="str">
            <v/>
          </cell>
        </row>
        <row r="460">
          <cell r="C460" t="str">
            <v>T23C850001073</v>
          </cell>
          <cell r="D460" t="str">
            <v>A23C850001625</v>
          </cell>
          <cell r="E460">
            <v>0</v>
          </cell>
          <cell r="F460">
            <v>100000</v>
          </cell>
          <cell r="G460" t="str">
            <v>Mobile Phone</v>
          </cell>
          <cell r="H460" t="str">
            <v>[1]SMARTPHONES/ONLINE/JULY_RETAIL.COM_23</v>
          </cell>
          <cell r="I460" t="str">
            <v>Closed</v>
          </cell>
          <cell r="J460" t="str">
            <v>sjara.mella</v>
          </cell>
          <cell r="K460">
            <v>45128</v>
          </cell>
          <cell r="L460">
            <v>45199</v>
          </cell>
          <cell r="M460" t="str">
            <v>G1</v>
          </cell>
          <cell r="N460" t="str">
            <v>DIGITAL MEDIA</v>
          </cell>
          <cell r="O460" t="str">
            <v>A250</v>
          </cell>
          <cell r="P460" t="str">
            <v>DISPLAY</v>
          </cell>
          <cell r="Q460" t="str">
            <v>2024</v>
          </cell>
          <cell r="R460" t="str">
            <v>FZX363</v>
          </cell>
          <cell r="S460" t="str">
            <v>Falabella Retail S.A.</v>
          </cell>
          <cell r="T460" t="str">
            <v/>
          </cell>
        </row>
        <row r="461">
          <cell r="C461" t="str">
            <v>T23C850001073</v>
          </cell>
          <cell r="D461" t="str">
            <v>A23C850001625</v>
          </cell>
          <cell r="E461">
            <v>0</v>
          </cell>
          <cell r="F461">
            <v>897455</v>
          </cell>
          <cell r="G461" t="str">
            <v>Mobile Phone</v>
          </cell>
          <cell r="H461" t="str">
            <v>[1]SMARTPHONES/ONLINE/JULY_RETAIL.COM_23</v>
          </cell>
          <cell r="I461" t="str">
            <v>Closed</v>
          </cell>
          <cell r="J461" t="str">
            <v>sjara.mella</v>
          </cell>
          <cell r="K461">
            <v>45128</v>
          </cell>
          <cell r="L461">
            <v>45199</v>
          </cell>
          <cell r="M461" t="str">
            <v>G1</v>
          </cell>
          <cell r="N461" t="str">
            <v>DIGITAL MEDIA</v>
          </cell>
          <cell r="O461" t="str">
            <v>A240</v>
          </cell>
          <cell r="P461" t="str">
            <v>SEARCH</v>
          </cell>
          <cell r="Q461" t="str">
            <v>2024</v>
          </cell>
          <cell r="R461" t="str">
            <v>FZX363</v>
          </cell>
          <cell r="S461" t="str">
            <v>Falabella Retail S.A.</v>
          </cell>
          <cell r="T461" t="str">
            <v/>
          </cell>
        </row>
        <row r="462">
          <cell r="C462" t="str">
            <v>T23C850001073</v>
          </cell>
          <cell r="D462" t="str">
            <v>A23C850001625</v>
          </cell>
          <cell r="E462">
            <v>0</v>
          </cell>
          <cell r="F462">
            <v>94989</v>
          </cell>
          <cell r="G462" t="str">
            <v>Mobile Phone</v>
          </cell>
          <cell r="H462" t="str">
            <v>[1]SMARTPHONES/ONLINE/JULY_RETAIL.COM_23</v>
          </cell>
          <cell r="I462" t="str">
            <v>Closed</v>
          </cell>
          <cell r="J462" t="str">
            <v>sjara.mella</v>
          </cell>
          <cell r="K462">
            <v>45128</v>
          </cell>
          <cell r="L462">
            <v>45199</v>
          </cell>
          <cell r="M462" t="str">
            <v>G1</v>
          </cell>
          <cell r="N462" t="str">
            <v>DIGITAL MEDIA</v>
          </cell>
          <cell r="O462" t="str">
            <v>A240</v>
          </cell>
          <cell r="P462" t="str">
            <v>SEARCH</v>
          </cell>
          <cell r="Q462" t="str">
            <v>2024</v>
          </cell>
          <cell r="R462" t="str">
            <v>FZX363</v>
          </cell>
          <cell r="S462" t="str">
            <v>Falabella Retail S.A.</v>
          </cell>
          <cell r="T462" t="str">
            <v/>
          </cell>
        </row>
        <row r="463">
          <cell r="C463" t="str">
            <v>T23C850001141</v>
          </cell>
          <cell r="D463" t="str">
            <v>A23C850001738</v>
          </cell>
          <cell r="E463">
            <v>0</v>
          </cell>
          <cell r="F463">
            <v>27000000</v>
          </cell>
          <cell r="G463" t="str">
            <v>Mobile Phone</v>
          </cell>
          <cell r="H463" t="str">
            <v>[1]PUMI APPROVED ATTACHED/HHP /V.GONZALEZG/ B5Q5 FALABELLA ACTIVATION</v>
          </cell>
          <cell r="I463" t="str">
            <v>Closed</v>
          </cell>
          <cell r="J463" t="str">
            <v>y.malave</v>
          </cell>
          <cell r="K463">
            <v>45145</v>
          </cell>
          <cell r="L463">
            <v>45230</v>
          </cell>
          <cell r="M463" t="str">
            <v>G1</v>
          </cell>
          <cell r="N463" t="str">
            <v>RETAIL</v>
          </cell>
          <cell r="O463" t="str">
            <v>B120</v>
          </cell>
          <cell r="P463" t="str">
            <v>SHELF MERCHANDISING</v>
          </cell>
          <cell r="Q463" t="str">
            <v>2024</v>
          </cell>
          <cell r="R463" t="str">
            <v>FZX363</v>
          </cell>
          <cell r="S463" t="str">
            <v>Falabella Retail S.A.</v>
          </cell>
          <cell r="T463" t="str">
            <v/>
          </cell>
        </row>
        <row r="464">
          <cell r="C464" t="str">
            <v>T23C850001209</v>
          </cell>
          <cell r="D464" t="str">
            <v>A23C850001827</v>
          </cell>
          <cell r="E464">
            <v>-6000000</v>
          </cell>
          <cell r="F464">
            <v>0</v>
          </cell>
          <cell r="G464" t="str">
            <v>Mobile Phone</v>
          </cell>
          <cell r="H464" t="str">
            <v>[1]ALWAYS ON HHP RETAIL.COM CAMPAIGN AUGUST</v>
          </cell>
          <cell r="I464" t="str">
            <v>Closed</v>
          </cell>
          <cell r="J464" t="str">
            <v>sjara.mella</v>
          </cell>
          <cell r="K464">
            <v>45146</v>
          </cell>
          <cell r="L464">
            <v>45230</v>
          </cell>
          <cell r="M464" t="str">
            <v>G1</v>
          </cell>
          <cell r="N464" t="str">
            <v>RETAIL</v>
          </cell>
          <cell r="O464" t="str">
            <v>B130</v>
          </cell>
          <cell r="P464" t="str">
            <v>PROMOTION MATERIAL</v>
          </cell>
          <cell r="Q464" t="str">
            <v>2024</v>
          </cell>
          <cell r="R464" t="str">
            <v>FZX363</v>
          </cell>
          <cell r="S464" t="str">
            <v>Falabella Retail S.A.</v>
          </cell>
          <cell r="T464" t="str">
            <v/>
          </cell>
        </row>
        <row r="465">
          <cell r="C465" t="str">
            <v>T23C850001209</v>
          </cell>
          <cell r="D465" t="str">
            <v>A23C850001827</v>
          </cell>
          <cell r="E465">
            <v>0</v>
          </cell>
          <cell r="F465">
            <v>3167023</v>
          </cell>
          <cell r="G465" t="str">
            <v>Mobile Phone</v>
          </cell>
          <cell r="H465" t="str">
            <v>[1]ALWAYS ON HHP RETAIL.COM CAMPAIGN AUGUST</v>
          </cell>
          <cell r="I465" t="str">
            <v>Closed</v>
          </cell>
          <cell r="J465" t="str">
            <v>sjara.mella</v>
          </cell>
          <cell r="K465">
            <v>45146</v>
          </cell>
          <cell r="L465">
            <v>45230</v>
          </cell>
          <cell r="M465" t="str">
            <v>G1</v>
          </cell>
          <cell r="N465" t="str">
            <v>DIGITAL MEDIA</v>
          </cell>
          <cell r="O465" t="str">
            <v>A230</v>
          </cell>
          <cell r="P465" t="str">
            <v>SOCIAL ADS</v>
          </cell>
          <cell r="Q465" t="str">
            <v>2024</v>
          </cell>
          <cell r="R465" t="str">
            <v>FZX363</v>
          </cell>
          <cell r="S465" t="str">
            <v>Falabella Retail S.A.</v>
          </cell>
          <cell r="T465" t="str">
            <v/>
          </cell>
        </row>
        <row r="466">
          <cell r="C466" t="str">
            <v>T23C850001337</v>
          </cell>
          <cell r="D466" t="str">
            <v>A23C850001961</v>
          </cell>
          <cell r="E466">
            <v>-500000</v>
          </cell>
          <cell r="F466">
            <v>0</v>
          </cell>
          <cell r="G466" t="str">
            <v>Mobile Phone</v>
          </cell>
          <cell r="H466" t="str">
            <v>[1]B5Q5 RETAIL HHP SEPTEMBER CAMPAIGN</v>
          </cell>
          <cell r="I466" t="str">
            <v>Closed</v>
          </cell>
          <cell r="J466" t="str">
            <v>sjara.mella</v>
          </cell>
          <cell r="K466">
            <v>45170</v>
          </cell>
          <cell r="L466">
            <v>45230</v>
          </cell>
          <cell r="M466" t="str">
            <v>G1</v>
          </cell>
          <cell r="N466" t="str">
            <v>DIGITAL MEDIA</v>
          </cell>
          <cell r="O466" t="str">
            <v>A240</v>
          </cell>
          <cell r="P466" t="str">
            <v>SEARCH</v>
          </cell>
          <cell r="Q466" t="str">
            <v>2024</v>
          </cell>
          <cell r="R466" t="str">
            <v>FZX363</v>
          </cell>
          <cell r="S466" t="str">
            <v>Falabella Retail S.A.</v>
          </cell>
          <cell r="T466" t="str">
            <v/>
          </cell>
        </row>
        <row r="467">
          <cell r="C467" t="str">
            <v>T23C850001411</v>
          </cell>
          <cell r="D467" t="str">
            <v>A23C850002080</v>
          </cell>
          <cell r="E467">
            <v>0</v>
          </cell>
          <cell r="F467">
            <v>4206176</v>
          </cell>
          <cell r="G467" t="str">
            <v>Mobile Phone</v>
          </cell>
          <cell r="H467" t="str">
            <v>[1]ALWAYS ON HHP RETAIL.COM CAMPAIGN SEPTEMBER</v>
          </cell>
          <cell r="I467" t="str">
            <v>Closed</v>
          </cell>
          <cell r="J467" t="str">
            <v>sjara.mella</v>
          </cell>
          <cell r="K467">
            <v>45190</v>
          </cell>
          <cell r="L467">
            <v>45260</v>
          </cell>
          <cell r="M467" t="str">
            <v>G1</v>
          </cell>
          <cell r="N467" t="str">
            <v>DIGITAL MEDIA</v>
          </cell>
          <cell r="O467" t="str">
            <v>A250</v>
          </cell>
          <cell r="P467" t="str">
            <v>DISPLAY</v>
          </cell>
          <cell r="Q467" t="str">
            <v>2024</v>
          </cell>
          <cell r="R467" t="str">
            <v>FZX363</v>
          </cell>
          <cell r="S467" t="str">
            <v>Falabella Retail S.A.</v>
          </cell>
          <cell r="T467" t="str">
            <v/>
          </cell>
        </row>
        <row r="468">
          <cell r="C468" t="str">
            <v>T23C850001411</v>
          </cell>
          <cell r="D468" t="str">
            <v>A23C850002080</v>
          </cell>
          <cell r="E468">
            <v>0</v>
          </cell>
          <cell r="F468">
            <v>793820</v>
          </cell>
          <cell r="G468" t="str">
            <v>Mobile Phone</v>
          </cell>
          <cell r="H468" t="str">
            <v>[1]ALWAYS ON HHP RETAIL.COM CAMPAIGN SEPTEMBER</v>
          </cell>
          <cell r="I468" t="str">
            <v>Closed</v>
          </cell>
          <cell r="J468" t="str">
            <v>sjara.mella</v>
          </cell>
          <cell r="K468">
            <v>45190</v>
          </cell>
          <cell r="L468">
            <v>45260</v>
          </cell>
          <cell r="M468" t="str">
            <v>G1</v>
          </cell>
          <cell r="N468" t="str">
            <v>DIGITAL MEDIA</v>
          </cell>
          <cell r="O468" t="str">
            <v>A250</v>
          </cell>
          <cell r="P468" t="str">
            <v>DISPLAY</v>
          </cell>
          <cell r="Q468" t="str">
            <v>2024</v>
          </cell>
          <cell r="R468" t="str">
            <v>FZX363</v>
          </cell>
          <cell r="S468" t="str">
            <v>Falabella Retail S.A.</v>
          </cell>
          <cell r="T468" t="str">
            <v/>
          </cell>
        </row>
        <row r="469">
          <cell r="C469" t="str">
            <v>T23C850001411</v>
          </cell>
          <cell r="D469" t="str">
            <v>A23C850002080</v>
          </cell>
          <cell r="E469">
            <v>-4</v>
          </cell>
          <cell r="F469">
            <v>0</v>
          </cell>
          <cell r="G469" t="str">
            <v>Mobile Phone</v>
          </cell>
          <cell r="H469" t="str">
            <v>[1]ALWAYS ON HHP RETAIL.COM CAMPAIGN SEPTEMBER</v>
          </cell>
          <cell r="I469" t="str">
            <v>Closed</v>
          </cell>
          <cell r="J469" t="str">
            <v>sjara.mella</v>
          </cell>
          <cell r="K469">
            <v>45190</v>
          </cell>
          <cell r="L469">
            <v>45260</v>
          </cell>
          <cell r="M469" t="str">
            <v>G1</v>
          </cell>
          <cell r="N469" t="str">
            <v>DIGITAL MEDIA</v>
          </cell>
          <cell r="O469" t="str">
            <v>A250</v>
          </cell>
          <cell r="P469" t="str">
            <v>DISPLAY</v>
          </cell>
          <cell r="Q469" t="str">
            <v>2024</v>
          </cell>
          <cell r="R469" t="str">
            <v>FZX363</v>
          </cell>
          <cell r="S469" t="str">
            <v>Falabella Retail S.A.</v>
          </cell>
          <cell r="T469" t="str">
            <v/>
          </cell>
        </row>
        <row r="470">
          <cell r="C470" t="str">
            <v>T23C850001411</v>
          </cell>
          <cell r="D470" t="str">
            <v>A23C850002080</v>
          </cell>
          <cell r="E470">
            <v>0</v>
          </cell>
          <cell r="F470">
            <v>1750000</v>
          </cell>
          <cell r="G470" t="str">
            <v>Mobile Phone</v>
          </cell>
          <cell r="H470" t="str">
            <v>[1]ALWAYS ON HHP RETAIL.COM CAMPAIGN SEPTEMBER</v>
          </cell>
          <cell r="I470" t="str">
            <v>Closed</v>
          </cell>
          <cell r="J470" t="str">
            <v>sjara.mella</v>
          </cell>
          <cell r="K470">
            <v>45190</v>
          </cell>
          <cell r="L470">
            <v>45260</v>
          </cell>
          <cell r="M470" t="str">
            <v>G1</v>
          </cell>
          <cell r="N470" t="str">
            <v>DIGITAL MEDIA</v>
          </cell>
          <cell r="O470" t="str">
            <v>A240</v>
          </cell>
          <cell r="P470" t="str">
            <v>SEARCH</v>
          </cell>
          <cell r="Q470" t="str">
            <v>2024</v>
          </cell>
          <cell r="R470" t="str">
            <v>FZX363</v>
          </cell>
          <cell r="S470" t="str">
            <v>Falabella Retail S.A.</v>
          </cell>
          <cell r="T470" t="str">
            <v/>
          </cell>
        </row>
        <row r="471">
          <cell r="C471" t="str">
            <v>T23C850001411</v>
          </cell>
          <cell r="D471" t="str">
            <v>A23C850002080</v>
          </cell>
          <cell r="E471">
            <v>0</v>
          </cell>
          <cell r="F471">
            <v>876801</v>
          </cell>
          <cell r="G471" t="str">
            <v>Mobile Phone</v>
          </cell>
          <cell r="H471" t="str">
            <v>[1]ALWAYS ON HHP RETAIL.COM CAMPAIGN SEPTEMBER</v>
          </cell>
          <cell r="I471" t="str">
            <v>Closed</v>
          </cell>
          <cell r="J471" t="str">
            <v>sjara.mella</v>
          </cell>
          <cell r="K471">
            <v>45190</v>
          </cell>
          <cell r="L471">
            <v>45260</v>
          </cell>
          <cell r="M471" t="str">
            <v>G1</v>
          </cell>
          <cell r="N471" t="str">
            <v>DIGITAL MEDIA</v>
          </cell>
          <cell r="O471" t="str">
            <v>A230</v>
          </cell>
          <cell r="P471" t="str">
            <v>SOCIAL ADS</v>
          </cell>
          <cell r="Q471" t="str">
            <v>2024</v>
          </cell>
          <cell r="R471" t="str">
            <v>FZX363</v>
          </cell>
          <cell r="S471" t="str">
            <v>Falabella Retail S.A.</v>
          </cell>
          <cell r="T471" t="str">
            <v/>
          </cell>
        </row>
        <row r="472">
          <cell r="C472" t="str">
            <v>T23C850001467</v>
          </cell>
          <cell r="D472" t="str">
            <v>A23C850002130</v>
          </cell>
          <cell r="E472">
            <v>0</v>
          </cell>
          <cell r="F472">
            <v>3000000</v>
          </cell>
          <cell r="G472" t="str">
            <v>Mobile Phone</v>
          </cell>
          <cell r="H472" t="str">
            <v>[1]RETAIL HHP OCTOBER CAMPAIGN</v>
          </cell>
          <cell r="I472" t="str">
            <v>Closed</v>
          </cell>
          <cell r="J472" t="str">
            <v>r.gonzalezs</v>
          </cell>
          <cell r="K472">
            <v>45200</v>
          </cell>
          <cell r="L472">
            <v>45260</v>
          </cell>
          <cell r="M472" t="str">
            <v>G1</v>
          </cell>
          <cell r="N472" t="str">
            <v>DIGITAL MEDIA</v>
          </cell>
          <cell r="O472" t="str">
            <v>A250</v>
          </cell>
          <cell r="P472" t="str">
            <v>DISPLAY</v>
          </cell>
          <cell r="Q472" t="str">
            <v>2024</v>
          </cell>
          <cell r="R472" t="str">
            <v>FZX363</v>
          </cell>
          <cell r="S472" t="str">
            <v>Falabella Retail S.A.</v>
          </cell>
          <cell r="T472" t="str">
            <v/>
          </cell>
        </row>
        <row r="473">
          <cell r="C473" t="str">
            <v>T23C850001467</v>
          </cell>
          <cell r="D473" t="str">
            <v>A23C850002130</v>
          </cell>
          <cell r="E473">
            <v>0</v>
          </cell>
          <cell r="F473">
            <v>3000000</v>
          </cell>
          <cell r="G473" t="str">
            <v>Mobile Phone</v>
          </cell>
          <cell r="H473" t="str">
            <v>[1]RETAIL HHP OCTOBER CAMPAIGN</v>
          </cell>
          <cell r="I473" t="str">
            <v>Closed</v>
          </cell>
          <cell r="J473" t="str">
            <v>r.gonzalezs</v>
          </cell>
          <cell r="K473">
            <v>45200</v>
          </cell>
          <cell r="L473">
            <v>45260</v>
          </cell>
          <cell r="M473" t="str">
            <v>G1</v>
          </cell>
          <cell r="N473" t="str">
            <v>DIGITAL MEDIA</v>
          </cell>
          <cell r="O473" t="str">
            <v>A240</v>
          </cell>
          <cell r="P473" t="str">
            <v>SEARCH</v>
          </cell>
          <cell r="Q473" t="str">
            <v>2024</v>
          </cell>
          <cell r="R473" t="str">
            <v>FZX363</v>
          </cell>
          <cell r="S473" t="str">
            <v>Falabella Retail S.A.</v>
          </cell>
          <cell r="T473" t="str">
            <v/>
          </cell>
        </row>
        <row r="474">
          <cell r="C474" t="str">
            <v>T23C850001467</v>
          </cell>
          <cell r="D474" t="str">
            <v>A23C850002130</v>
          </cell>
          <cell r="E474">
            <v>0</v>
          </cell>
          <cell r="F474">
            <v>102545</v>
          </cell>
          <cell r="G474" t="str">
            <v>Mobile Phone</v>
          </cell>
          <cell r="H474" t="str">
            <v>[1]RETAIL HHP OCTOBER CAMPAIGN</v>
          </cell>
          <cell r="I474" t="str">
            <v>Closed</v>
          </cell>
          <cell r="J474" t="str">
            <v>r.gonzalezs</v>
          </cell>
          <cell r="K474">
            <v>45200</v>
          </cell>
          <cell r="L474">
            <v>45260</v>
          </cell>
          <cell r="M474" t="str">
            <v>G1</v>
          </cell>
          <cell r="N474" t="str">
            <v>DIGITAL MEDIA</v>
          </cell>
          <cell r="O474" t="str">
            <v>A240</v>
          </cell>
          <cell r="P474" t="str">
            <v>SEARCH</v>
          </cell>
          <cell r="Q474" t="str">
            <v>2024</v>
          </cell>
          <cell r="R474" t="str">
            <v>FZX363</v>
          </cell>
          <cell r="S474" t="str">
            <v>Falabella Retail S.A.</v>
          </cell>
          <cell r="T474" t="str">
            <v/>
          </cell>
        </row>
        <row r="475">
          <cell r="C475" t="str">
            <v>T23C850001467</v>
          </cell>
          <cell r="D475" t="str">
            <v>A23C850002130</v>
          </cell>
          <cell r="E475">
            <v>0</v>
          </cell>
          <cell r="F475">
            <v>4989445</v>
          </cell>
          <cell r="G475" t="str">
            <v>Mobile Phone</v>
          </cell>
          <cell r="H475" t="str">
            <v>[1]RETAIL HHP OCTOBER CAMPAIGN</v>
          </cell>
          <cell r="I475" t="str">
            <v>Closed</v>
          </cell>
          <cell r="J475" t="str">
            <v>r.gonzalezs</v>
          </cell>
          <cell r="K475">
            <v>45200</v>
          </cell>
          <cell r="L475">
            <v>45260</v>
          </cell>
          <cell r="M475" t="str">
            <v>G1</v>
          </cell>
          <cell r="N475" t="str">
            <v>DIGITAL MEDIA</v>
          </cell>
          <cell r="O475" t="str">
            <v>A230</v>
          </cell>
          <cell r="P475" t="str">
            <v>SOCIAL ADS</v>
          </cell>
          <cell r="Q475" t="str">
            <v>2024</v>
          </cell>
          <cell r="R475" t="str">
            <v>FZX363</v>
          </cell>
          <cell r="S475" t="str">
            <v>Falabella Retail S.A.</v>
          </cell>
          <cell r="T475" t="str">
            <v/>
          </cell>
        </row>
        <row r="476">
          <cell r="C476" t="str">
            <v>T23C850001467</v>
          </cell>
          <cell r="D476" t="str">
            <v>A23C850002130</v>
          </cell>
          <cell r="E476">
            <v>0</v>
          </cell>
          <cell r="F476">
            <v>4000000</v>
          </cell>
          <cell r="G476" t="str">
            <v>Mobile Phone</v>
          </cell>
          <cell r="H476" t="str">
            <v>[1]RETAIL HHP OCTOBER CAMPAIGN</v>
          </cell>
          <cell r="I476" t="str">
            <v>Closed</v>
          </cell>
          <cell r="J476" t="str">
            <v>r.gonzalezs</v>
          </cell>
          <cell r="K476">
            <v>45200</v>
          </cell>
          <cell r="L476">
            <v>45260</v>
          </cell>
          <cell r="M476" t="str">
            <v>G1</v>
          </cell>
          <cell r="N476" t="str">
            <v>DIGITAL MEDIA</v>
          </cell>
          <cell r="O476" t="str">
            <v>A230</v>
          </cell>
          <cell r="P476" t="str">
            <v>SOCIAL ADS</v>
          </cell>
          <cell r="Q476" t="str">
            <v>2024</v>
          </cell>
          <cell r="R476" t="str">
            <v>FZX363</v>
          </cell>
          <cell r="S476" t="str">
            <v>Falabella Retail S.A.</v>
          </cell>
          <cell r="T476" t="str">
            <v/>
          </cell>
        </row>
        <row r="477">
          <cell r="C477" t="str">
            <v>T23C850001498</v>
          </cell>
          <cell r="D477" t="str">
            <v>A23C850002189</v>
          </cell>
          <cell r="E477">
            <v>0</v>
          </cell>
          <cell r="F477">
            <v>3100000</v>
          </cell>
          <cell r="G477" t="str">
            <v>Mobile Phone</v>
          </cell>
          <cell r="H477" t="str">
            <v>[1]WRBLS/RETAIL/Q4 CAMPAIGNS</v>
          </cell>
          <cell r="I477" t="str">
            <v>Closed</v>
          </cell>
          <cell r="J477" t="str">
            <v>j.albornoz</v>
          </cell>
          <cell r="K477">
            <v>45200</v>
          </cell>
          <cell r="L477">
            <v>45291</v>
          </cell>
          <cell r="M477" t="str">
            <v>G1</v>
          </cell>
          <cell r="N477" t="str">
            <v>DIGITAL MEDIA</v>
          </cell>
          <cell r="O477" t="str">
            <v>A250</v>
          </cell>
          <cell r="P477" t="str">
            <v>DISPLAY</v>
          </cell>
          <cell r="Q477" t="str">
            <v>2024</v>
          </cell>
          <cell r="R477" t="str">
            <v>FZX363</v>
          </cell>
          <cell r="S477" t="str">
            <v>Falabella Retail S.A.</v>
          </cell>
          <cell r="T477" t="str">
            <v/>
          </cell>
        </row>
        <row r="478">
          <cell r="C478" t="str">
            <v>T23C850001498</v>
          </cell>
          <cell r="D478" t="str">
            <v>A23C850002189</v>
          </cell>
          <cell r="E478">
            <v>0</v>
          </cell>
          <cell r="F478">
            <v>4450000</v>
          </cell>
          <cell r="G478" t="str">
            <v>Mobile Phone</v>
          </cell>
          <cell r="H478" t="str">
            <v>[1]WRBLS/RETAIL/Q4 CAMPAIGNS</v>
          </cell>
          <cell r="I478" t="str">
            <v>Closed</v>
          </cell>
          <cell r="J478" t="str">
            <v>j.albornoz</v>
          </cell>
          <cell r="K478">
            <v>45200</v>
          </cell>
          <cell r="L478">
            <v>45291</v>
          </cell>
          <cell r="M478" t="str">
            <v>G1</v>
          </cell>
          <cell r="N478" t="str">
            <v>DIGITAL MEDIA</v>
          </cell>
          <cell r="O478" t="str">
            <v>A240</v>
          </cell>
          <cell r="P478" t="str">
            <v>SEARCH</v>
          </cell>
          <cell r="Q478" t="str">
            <v>2024</v>
          </cell>
          <cell r="R478" t="str">
            <v>FZX363</v>
          </cell>
          <cell r="S478" t="str">
            <v>Falabella Retail S.A.</v>
          </cell>
          <cell r="T478" t="str">
            <v/>
          </cell>
        </row>
        <row r="479">
          <cell r="C479" t="str">
            <v>T23C850001498</v>
          </cell>
          <cell r="D479" t="str">
            <v>A23C850002189</v>
          </cell>
          <cell r="E479">
            <v>0</v>
          </cell>
          <cell r="F479">
            <v>1800000</v>
          </cell>
          <cell r="G479" t="str">
            <v>Mobile Phone</v>
          </cell>
          <cell r="H479" t="str">
            <v>[1]WRBLS/RETAIL/Q4 CAMPAIGNS</v>
          </cell>
          <cell r="I479" t="str">
            <v>Closed</v>
          </cell>
          <cell r="J479" t="str">
            <v>j.albornoz</v>
          </cell>
          <cell r="K479">
            <v>45200</v>
          </cell>
          <cell r="L479">
            <v>45291</v>
          </cell>
          <cell r="M479" t="str">
            <v>G1</v>
          </cell>
          <cell r="N479" t="str">
            <v>DIGITAL MEDIA</v>
          </cell>
          <cell r="O479" t="str">
            <v>A230</v>
          </cell>
          <cell r="P479" t="str">
            <v>SOCIAL ADS</v>
          </cell>
          <cell r="Q479" t="str">
            <v>2024</v>
          </cell>
          <cell r="R479" t="str">
            <v>FZX363</v>
          </cell>
          <cell r="S479" t="str">
            <v>Falabella Retail S.A.</v>
          </cell>
          <cell r="T479" t="str">
            <v/>
          </cell>
        </row>
        <row r="480">
          <cell r="C480" t="str">
            <v>T23C850001506</v>
          </cell>
          <cell r="D480" t="str">
            <v>A23C850002181</v>
          </cell>
          <cell r="E480">
            <v>0</v>
          </cell>
          <cell r="F480">
            <v>2700000</v>
          </cell>
          <cell r="G480" t="str">
            <v>Computer</v>
          </cell>
          <cell r="H480" t="str">
            <v>[1]NPC/RETAIL/Q4 CAMPAIGNS</v>
          </cell>
          <cell r="I480" t="str">
            <v>Closed</v>
          </cell>
          <cell r="J480" t="str">
            <v>j.albornoz</v>
          </cell>
          <cell r="K480">
            <v>45200</v>
          </cell>
          <cell r="L480">
            <v>45291</v>
          </cell>
          <cell r="M480" t="str">
            <v>C3</v>
          </cell>
          <cell r="N480" t="str">
            <v>DIGITAL MEDIA</v>
          </cell>
          <cell r="O480" t="str">
            <v>A230</v>
          </cell>
          <cell r="P480" t="str">
            <v>SOCIAL ADS</v>
          </cell>
          <cell r="Q480" t="str">
            <v>2024</v>
          </cell>
          <cell r="R480" t="str">
            <v>FZX363</v>
          </cell>
          <cell r="S480" t="str">
            <v>Falabella Retail S.A.</v>
          </cell>
          <cell r="T480" t="str">
            <v/>
          </cell>
        </row>
        <row r="481">
          <cell r="C481" t="str">
            <v>T23C850001506</v>
          </cell>
          <cell r="D481" t="str">
            <v>A23C850002181</v>
          </cell>
          <cell r="E481">
            <v>0</v>
          </cell>
          <cell r="F481">
            <v>6000000</v>
          </cell>
          <cell r="G481" t="str">
            <v>Computer</v>
          </cell>
          <cell r="H481" t="str">
            <v>[1]NPC/RETAIL/Q4 CAMPAIGNS</v>
          </cell>
          <cell r="I481" t="str">
            <v>Closed</v>
          </cell>
          <cell r="J481" t="str">
            <v>j.albornoz</v>
          </cell>
          <cell r="K481">
            <v>45200</v>
          </cell>
          <cell r="L481">
            <v>45291</v>
          </cell>
          <cell r="M481" t="str">
            <v>C3</v>
          </cell>
          <cell r="N481" t="str">
            <v>DIGITAL MEDIA</v>
          </cell>
          <cell r="O481" t="str">
            <v>A240</v>
          </cell>
          <cell r="P481" t="str">
            <v>SEARCH</v>
          </cell>
          <cell r="Q481" t="str">
            <v>2024</v>
          </cell>
          <cell r="R481" t="str">
            <v>FZX363</v>
          </cell>
          <cell r="S481" t="str">
            <v>Falabella Retail S.A.</v>
          </cell>
          <cell r="T481" t="str">
            <v/>
          </cell>
        </row>
        <row r="482">
          <cell r="C482" t="str">
            <v>T23C850001506</v>
          </cell>
          <cell r="D482" t="str">
            <v>A23C850002181</v>
          </cell>
          <cell r="E482">
            <v>0</v>
          </cell>
          <cell r="F482">
            <v>2800000</v>
          </cell>
          <cell r="G482" t="str">
            <v>Computer</v>
          </cell>
          <cell r="H482" t="str">
            <v>[1]NPC/RETAIL/Q4 CAMPAIGNS</v>
          </cell>
          <cell r="I482" t="str">
            <v>Closed</v>
          </cell>
          <cell r="J482" t="str">
            <v>j.albornoz</v>
          </cell>
          <cell r="K482">
            <v>45200</v>
          </cell>
          <cell r="L482">
            <v>45291</v>
          </cell>
          <cell r="M482" t="str">
            <v>C3</v>
          </cell>
          <cell r="N482" t="str">
            <v>DIGITAL MEDIA</v>
          </cell>
          <cell r="O482" t="str">
            <v>A250</v>
          </cell>
          <cell r="P482" t="str">
            <v>DISPLAY</v>
          </cell>
          <cell r="Q482" t="str">
            <v>2024</v>
          </cell>
          <cell r="R482" t="str">
            <v>FZX363</v>
          </cell>
          <cell r="S482" t="str">
            <v>Falabella Retail S.A.</v>
          </cell>
          <cell r="T482" t="str">
            <v/>
          </cell>
        </row>
        <row r="483">
          <cell r="C483" t="str">
            <v>T23C850001511</v>
          </cell>
          <cell r="D483" t="str">
            <v>A23C850002177</v>
          </cell>
          <cell r="E483">
            <v>0</v>
          </cell>
          <cell r="F483">
            <v>5900000</v>
          </cell>
          <cell r="G483" t="str">
            <v>Mobile Phone</v>
          </cell>
          <cell r="H483" t="str">
            <v>[1]TAB/RETAIL/Q4 CAMPAIGNS</v>
          </cell>
          <cell r="I483" t="str">
            <v>Closed</v>
          </cell>
          <cell r="J483" t="str">
            <v>j.albornoz</v>
          </cell>
          <cell r="K483">
            <v>45200</v>
          </cell>
          <cell r="L483">
            <v>45291</v>
          </cell>
          <cell r="M483" t="str">
            <v>G1</v>
          </cell>
          <cell r="N483" t="str">
            <v>DIGITAL MEDIA</v>
          </cell>
          <cell r="O483" t="str">
            <v>A250</v>
          </cell>
          <cell r="P483" t="str">
            <v>DISPLAY</v>
          </cell>
          <cell r="Q483" t="str">
            <v>2024</v>
          </cell>
          <cell r="R483" t="str">
            <v>FZX363</v>
          </cell>
          <cell r="S483" t="str">
            <v>Falabella Retail S.A.</v>
          </cell>
          <cell r="T483" t="str">
            <v/>
          </cell>
        </row>
        <row r="484">
          <cell r="C484" t="str">
            <v>T23C850001511</v>
          </cell>
          <cell r="D484" t="str">
            <v>A23C850002177</v>
          </cell>
          <cell r="E484">
            <v>0</v>
          </cell>
          <cell r="F484">
            <v>9000000</v>
          </cell>
          <cell r="G484" t="str">
            <v>Mobile Phone</v>
          </cell>
          <cell r="H484" t="str">
            <v>[1]TAB/RETAIL/Q4 CAMPAIGNS</v>
          </cell>
          <cell r="I484" t="str">
            <v>Closed</v>
          </cell>
          <cell r="J484" t="str">
            <v>j.albornoz</v>
          </cell>
          <cell r="K484">
            <v>45200</v>
          </cell>
          <cell r="L484">
            <v>45291</v>
          </cell>
          <cell r="M484" t="str">
            <v>G1</v>
          </cell>
          <cell r="N484" t="str">
            <v>DIGITAL MEDIA</v>
          </cell>
          <cell r="O484" t="str">
            <v>A240</v>
          </cell>
          <cell r="P484" t="str">
            <v>SEARCH</v>
          </cell>
          <cell r="Q484" t="str">
            <v>2024</v>
          </cell>
          <cell r="R484" t="str">
            <v>FZX363</v>
          </cell>
          <cell r="S484" t="str">
            <v>Falabella Retail S.A.</v>
          </cell>
          <cell r="T484" t="str">
            <v/>
          </cell>
        </row>
        <row r="485">
          <cell r="C485" t="str">
            <v>T23C850001511</v>
          </cell>
          <cell r="D485" t="str">
            <v>A23C850002177</v>
          </cell>
          <cell r="E485">
            <v>0</v>
          </cell>
          <cell r="F485">
            <v>4000000</v>
          </cell>
          <cell r="G485" t="str">
            <v>Mobile Phone</v>
          </cell>
          <cell r="H485" t="str">
            <v>[1]TAB/RETAIL/Q4 CAMPAIGNS</v>
          </cell>
          <cell r="I485" t="str">
            <v>Closed</v>
          </cell>
          <cell r="J485" t="str">
            <v>j.albornoz</v>
          </cell>
          <cell r="K485">
            <v>45200</v>
          </cell>
          <cell r="L485">
            <v>45291</v>
          </cell>
          <cell r="M485" t="str">
            <v>G1</v>
          </cell>
          <cell r="N485" t="str">
            <v>DIGITAL MEDIA</v>
          </cell>
          <cell r="O485" t="str">
            <v>A230</v>
          </cell>
          <cell r="P485" t="str">
            <v>SOCIAL ADS</v>
          </cell>
          <cell r="Q485" t="str">
            <v>2024</v>
          </cell>
          <cell r="R485" t="str">
            <v>FZX363</v>
          </cell>
          <cell r="S485" t="str">
            <v>Falabella Retail S.A.</v>
          </cell>
          <cell r="T485" t="str">
            <v/>
          </cell>
        </row>
        <row r="486">
          <cell r="C486" t="str">
            <v>T23C850001657</v>
          </cell>
          <cell r="D486" t="str">
            <v>A23C850002352</v>
          </cell>
          <cell r="E486">
            <v>0</v>
          </cell>
          <cell r="F486">
            <v>3000000</v>
          </cell>
          <cell r="G486" t="str">
            <v>Mobile Phone</v>
          </cell>
          <cell r="H486" t="str">
            <v>[1]RETAIL HHP AON NOVEMBER RETAIL A</v>
          </cell>
          <cell r="I486" t="str">
            <v>Closed</v>
          </cell>
          <cell r="J486" t="str">
            <v>sjara.mella</v>
          </cell>
          <cell r="K486">
            <v>45237</v>
          </cell>
          <cell r="L486">
            <v>45291</v>
          </cell>
          <cell r="M486" t="str">
            <v>G1</v>
          </cell>
          <cell r="N486" t="str">
            <v>DIGITAL MEDIA</v>
          </cell>
          <cell r="O486" t="str">
            <v>A250</v>
          </cell>
          <cell r="P486" t="str">
            <v>DISPLAY</v>
          </cell>
          <cell r="Q486" t="str">
            <v>2024</v>
          </cell>
          <cell r="R486" t="str">
            <v>FZX363</v>
          </cell>
          <cell r="S486" t="str">
            <v>Falabella Retail S.A.</v>
          </cell>
          <cell r="T486" t="str">
            <v/>
          </cell>
        </row>
        <row r="487">
          <cell r="C487" t="str">
            <v>T23C850001657</v>
          </cell>
          <cell r="D487" t="str">
            <v>A23C850002352</v>
          </cell>
          <cell r="E487">
            <v>0</v>
          </cell>
          <cell r="F487">
            <v>4000000</v>
          </cell>
          <cell r="G487" t="str">
            <v>Mobile Phone</v>
          </cell>
          <cell r="H487" t="str">
            <v>[1]RETAIL HHP AON NOVEMBER RETAIL A</v>
          </cell>
          <cell r="I487" t="str">
            <v>Closed</v>
          </cell>
          <cell r="J487" t="str">
            <v>sjara.mella</v>
          </cell>
          <cell r="K487">
            <v>45237</v>
          </cell>
          <cell r="L487">
            <v>45291</v>
          </cell>
          <cell r="M487" t="str">
            <v>G1</v>
          </cell>
          <cell r="N487" t="str">
            <v>DIGITAL MEDIA</v>
          </cell>
          <cell r="O487" t="str">
            <v>A240</v>
          </cell>
          <cell r="P487" t="str">
            <v>SEARCH</v>
          </cell>
          <cell r="Q487" t="str">
            <v>2024</v>
          </cell>
          <cell r="R487" t="str">
            <v>FZX363</v>
          </cell>
          <cell r="S487" t="str">
            <v>Falabella Retail S.A.</v>
          </cell>
          <cell r="T487" t="str">
            <v/>
          </cell>
        </row>
        <row r="488">
          <cell r="C488" t="str">
            <v>T23C850001657</v>
          </cell>
          <cell r="D488" t="str">
            <v>A23C850002352</v>
          </cell>
          <cell r="E488">
            <v>0</v>
          </cell>
          <cell r="F488">
            <v>3000000</v>
          </cell>
          <cell r="G488" t="str">
            <v>Mobile Phone</v>
          </cell>
          <cell r="H488" t="str">
            <v>[1]RETAIL HHP AON NOVEMBER RETAIL A</v>
          </cell>
          <cell r="I488" t="str">
            <v>Closed</v>
          </cell>
          <cell r="J488" t="str">
            <v>sjara.mella</v>
          </cell>
          <cell r="K488">
            <v>45237</v>
          </cell>
          <cell r="L488">
            <v>45291</v>
          </cell>
          <cell r="M488" t="str">
            <v>G1</v>
          </cell>
          <cell r="N488" t="str">
            <v>DIGITAL MEDIA</v>
          </cell>
          <cell r="O488" t="str">
            <v>A230</v>
          </cell>
          <cell r="P488" t="str">
            <v>SOCIAL ADS</v>
          </cell>
          <cell r="Q488" t="str">
            <v>2024</v>
          </cell>
          <cell r="R488" t="str">
            <v>FZX363</v>
          </cell>
          <cell r="S488" t="str">
            <v>Falabella Retail S.A.</v>
          </cell>
          <cell r="T488" t="str">
            <v/>
          </cell>
        </row>
        <row r="489">
          <cell r="C489" t="str">
            <v>T23C850001663</v>
          </cell>
          <cell r="D489" t="str">
            <v>A23C850002359</v>
          </cell>
          <cell r="E489">
            <v>0</v>
          </cell>
          <cell r="F489">
            <v>1000000</v>
          </cell>
          <cell r="G489" t="str">
            <v>Mobile Phone</v>
          </cell>
          <cell r="H489" t="str">
            <v>[1]RETAIL HHP S23 FE LAUNCH CAMPAIGN</v>
          </cell>
          <cell r="I489" t="str">
            <v>Closed</v>
          </cell>
          <cell r="J489" t="str">
            <v>sjara.mella</v>
          </cell>
          <cell r="K489">
            <v>45230</v>
          </cell>
          <cell r="L489">
            <v>45291</v>
          </cell>
          <cell r="M489" t="str">
            <v>G1</v>
          </cell>
          <cell r="N489" t="str">
            <v>DIGITAL MEDIA</v>
          </cell>
          <cell r="O489" t="str">
            <v>A250</v>
          </cell>
          <cell r="P489" t="str">
            <v>DISPLAY</v>
          </cell>
          <cell r="Q489" t="str">
            <v>2024</v>
          </cell>
          <cell r="R489" t="str">
            <v>FZX363</v>
          </cell>
          <cell r="S489" t="str">
            <v>Falabella Retail S.A.</v>
          </cell>
          <cell r="T489" t="str">
            <v/>
          </cell>
        </row>
        <row r="490">
          <cell r="C490" t="str">
            <v>T23C850001663</v>
          </cell>
          <cell r="D490" t="str">
            <v>A23C850002359</v>
          </cell>
          <cell r="E490">
            <v>0</v>
          </cell>
          <cell r="F490">
            <v>1000000</v>
          </cell>
          <cell r="G490" t="str">
            <v>Mobile Phone</v>
          </cell>
          <cell r="H490" t="str">
            <v>[1]RETAIL HHP S23 FE LAUNCH CAMPAIGN</v>
          </cell>
          <cell r="I490" t="str">
            <v>Closed</v>
          </cell>
          <cell r="J490" t="str">
            <v>sjara.mella</v>
          </cell>
          <cell r="K490">
            <v>45230</v>
          </cell>
          <cell r="L490">
            <v>45291</v>
          </cell>
          <cell r="M490" t="str">
            <v>G1</v>
          </cell>
          <cell r="N490" t="str">
            <v>DIGITAL MEDIA</v>
          </cell>
          <cell r="O490" t="str">
            <v>A240</v>
          </cell>
          <cell r="P490" t="str">
            <v>SEARCH</v>
          </cell>
          <cell r="Q490" t="str">
            <v>2024</v>
          </cell>
          <cell r="R490" t="str">
            <v>FZX363</v>
          </cell>
          <cell r="S490" t="str">
            <v>Falabella Retail S.A.</v>
          </cell>
          <cell r="T490" t="str">
            <v/>
          </cell>
        </row>
        <row r="491">
          <cell r="C491" t="str">
            <v>T23C850001663</v>
          </cell>
          <cell r="D491" t="str">
            <v>A23C850002359</v>
          </cell>
          <cell r="E491">
            <v>0</v>
          </cell>
          <cell r="F491">
            <v>1500000</v>
          </cell>
          <cell r="G491" t="str">
            <v>Mobile Phone</v>
          </cell>
          <cell r="H491" t="str">
            <v>[1]RETAIL HHP S23 FE LAUNCH CAMPAIGN</v>
          </cell>
          <cell r="I491" t="str">
            <v>Closed</v>
          </cell>
          <cell r="J491" t="str">
            <v>sjara.mella</v>
          </cell>
          <cell r="K491">
            <v>45230</v>
          </cell>
          <cell r="L491">
            <v>45291</v>
          </cell>
          <cell r="M491" t="str">
            <v>G1</v>
          </cell>
          <cell r="N491" t="str">
            <v>DIGITAL MEDIA</v>
          </cell>
          <cell r="O491" t="str">
            <v>A230</v>
          </cell>
          <cell r="P491" t="str">
            <v>SOCIAL ADS</v>
          </cell>
          <cell r="Q491" t="str">
            <v>2024</v>
          </cell>
          <cell r="R491" t="str">
            <v>FZX363</v>
          </cell>
          <cell r="S491" t="str">
            <v>Falabella Retail S.A.</v>
          </cell>
          <cell r="T491" t="str">
            <v/>
          </cell>
        </row>
        <row r="492">
          <cell r="C492" t="str">
            <v>T24C850000006</v>
          </cell>
          <cell r="D492" t="str">
            <v>A24C850000053</v>
          </cell>
          <cell r="E492">
            <v>15000000</v>
          </cell>
          <cell r="F492">
            <v>0</v>
          </cell>
          <cell r="G492" t="str">
            <v>Mobile Phone</v>
          </cell>
          <cell r="H492" t="str">
            <v>[1]PUMI APPROVED ATTACHED/HHP /V.GONZALEZG/ EUREKA FALABELLA ACTIVATION</v>
          </cell>
          <cell r="I492" t="str">
            <v>Closed</v>
          </cell>
          <cell r="J492" t="str">
            <v>y.malave</v>
          </cell>
          <cell r="K492">
            <v>45306</v>
          </cell>
          <cell r="L492">
            <v>45397</v>
          </cell>
          <cell r="M492" t="str">
            <v>G1</v>
          </cell>
          <cell r="N492" t="str">
            <v>RETAIL</v>
          </cell>
          <cell r="O492" t="str">
            <v>B120</v>
          </cell>
          <cell r="P492" t="str">
            <v>SHELF MERCHANDISING</v>
          </cell>
          <cell r="Q492" t="str">
            <v>2024</v>
          </cell>
          <cell r="R492" t="str">
            <v>FZX363</v>
          </cell>
          <cell r="S492" t="str">
            <v>Falabella Retail S.A.</v>
          </cell>
          <cell r="T492" t="str">
            <v/>
          </cell>
        </row>
        <row r="493">
          <cell r="C493" t="str">
            <v>T24C850000006</v>
          </cell>
          <cell r="D493" t="str">
            <v>A24C850000053</v>
          </cell>
          <cell r="E493">
            <v>24000000</v>
          </cell>
          <cell r="F493">
            <v>0</v>
          </cell>
          <cell r="G493" t="str">
            <v>Mobile Phone</v>
          </cell>
          <cell r="H493" t="str">
            <v>[1]PUMI APPROVED ATTACHED/HHP /V.GONZALEZG/ EUREKA FALABELLA ACTIVATION</v>
          </cell>
          <cell r="I493" t="str">
            <v>Closed</v>
          </cell>
          <cell r="J493" t="str">
            <v>y.malave</v>
          </cell>
          <cell r="K493">
            <v>45306</v>
          </cell>
          <cell r="L493">
            <v>45397</v>
          </cell>
          <cell r="M493" t="str">
            <v>G1</v>
          </cell>
          <cell r="N493" t="str">
            <v>RETAIL</v>
          </cell>
          <cell r="O493" t="str">
            <v>B120</v>
          </cell>
          <cell r="P493" t="str">
            <v>SHELF MERCHANDISING</v>
          </cell>
          <cell r="Q493" t="str">
            <v>2024</v>
          </cell>
          <cell r="R493" t="str">
            <v>FZX363</v>
          </cell>
          <cell r="S493" t="str">
            <v>Falabella Retail S.A.</v>
          </cell>
          <cell r="T493" t="str">
            <v/>
          </cell>
        </row>
        <row r="494">
          <cell r="C494" t="str">
            <v>T24C850000006</v>
          </cell>
          <cell r="D494" t="str">
            <v>A24C850000053</v>
          </cell>
          <cell r="E494">
            <v>0</v>
          </cell>
          <cell r="F494">
            <v>39000000</v>
          </cell>
          <cell r="G494" t="str">
            <v>Mobile Phone</v>
          </cell>
          <cell r="H494" t="str">
            <v>[1]PUMI APPROVED ATTACHED/HHP /V.GONZALEZG/ EUREKA FALABELLA ACTIVATION</v>
          </cell>
          <cell r="I494" t="str">
            <v>Closed</v>
          </cell>
          <cell r="J494" t="str">
            <v>y.malave</v>
          </cell>
          <cell r="K494">
            <v>45306</v>
          </cell>
          <cell r="L494">
            <v>45397</v>
          </cell>
          <cell r="M494" t="str">
            <v>G1</v>
          </cell>
          <cell r="N494" t="str">
            <v>RETAIL</v>
          </cell>
          <cell r="O494" t="str">
            <v>B120</v>
          </cell>
          <cell r="P494" t="str">
            <v>SHELF MERCHANDISING</v>
          </cell>
          <cell r="Q494" t="str">
            <v>2024</v>
          </cell>
          <cell r="R494" t="str">
            <v>FZX363</v>
          </cell>
          <cell r="S494" t="str">
            <v>Falabella Retail S.A.</v>
          </cell>
          <cell r="T494" t="str">
            <v/>
          </cell>
        </row>
        <row r="495">
          <cell r="C495" t="str">
            <v>T24C850000090</v>
          </cell>
          <cell r="D495" t="str">
            <v>A24C850000149</v>
          </cell>
          <cell r="E495">
            <v>1013775</v>
          </cell>
          <cell r="F495">
            <v>0</v>
          </cell>
          <cell r="G495" t="str">
            <v>Mobile Phone</v>
          </cell>
          <cell r="H495" t="str">
            <v>[1]HHP AON CAMPAIGN RETAILERS JANUARY</v>
          </cell>
          <cell r="I495" t="str">
            <v>Completed</v>
          </cell>
          <cell r="J495" t="str">
            <v>fernandez.r</v>
          </cell>
          <cell r="K495">
            <v>45301</v>
          </cell>
          <cell r="L495">
            <v>45382</v>
          </cell>
          <cell r="M495" t="str">
            <v>G1</v>
          </cell>
          <cell r="N495" t="str">
            <v>DIGITAL MEDIA</v>
          </cell>
          <cell r="O495" t="str">
            <v>A250</v>
          </cell>
          <cell r="P495" t="str">
            <v>DISPLAY</v>
          </cell>
          <cell r="Q495" t="str">
            <v>2024</v>
          </cell>
          <cell r="R495" t="str">
            <v>FZX363</v>
          </cell>
          <cell r="S495" t="str">
            <v>Falabella Retail S.A.</v>
          </cell>
          <cell r="T495" t="str">
            <v/>
          </cell>
          <cell r="U495" t="str">
            <v>CERRAR</v>
          </cell>
        </row>
        <row r="496">
          <cell r="C496" t="str">
            <v>T24C850000090</v>
          </cell>
          <cell r="D496" t="str">
            <v>A24C850000149</v>
          </cell>
          <cell r="E496">
            <v>0</v>
          </cell>
          <cell r="F496">
            <v>386225</v>
          </cell>
          <cell r="G496" t="str">
            <v>Mobile Phone</v>
          </cell>
          <cell r="H496" t="str">
            <v>[1]HHP AON CAMPAIGN RETAILERS JANUARY</v>
          </cell>
          <cell r="I496" t="str">
            <v>Completed</v>
          </cell>
          <cell r="J496" t="str">
            <v>fernandez.r</v>
          </cell>
          <cell r="K496">
            <v>45301</v>
          </cell>
          <cell r="L496">
            <v>45382</v>
          </cell>
          <cell r="M496" t="str">
            <v>G1</v>
          </cell>
          <cell r="N496" t="str">
            <v>DIGITAL MEDIA</v>
          </cell>
          <cell r="O496" t="str">
            <v>A250</v>
          </cell>
          <cell r="P496" t="str">
            <v>DISPLAY</v>
          </cell>
          <cell r="Q496" t="str">
            <v>2024</v>
          </cell>
          <cell r="R496" t="str">
            <v>FZX363</v>
          </cell>
          <cell r="S496" t="str">
            <v>Falabella Retail S.A.</v>
          </cell>
          <cell r="T496" t="str">
            <v/>
          </cell>
          <cell r="U496" t="str">
            <v>CERRAR</v>
          </cell>
        </row>
        <row r="497">
          <cell r="C497" t="str">
            <v>T24C850000090</v>
          </cell>
          <cell r="D497" t="str">
            <v>A24C850000149</v>
          </cell>
          <cell r="E497">
            <v>0</v>
          </cell>
          <cell r="F497">
            <v>86844</v>
          </cell>
          <cell r="G497" t="str">
            <v>Mobile Phone</v>
          </cell>
          <cell r="H497" t="str">
            <v>[1]HHP AON CAMPAIGN RETAILERS JANUARY</v>
          </cell>
          <cell r="I497" t="str">
            <v>Completed</v>
          </cell>
          <cell r="J497" t="str">
            <v>fernandez.r</v>
          </cell>
          <cell r="K497">
            <v>45301</v>
          </cell>
          <cell r="L497">
            <v>45382</v>
          </cell>
          <cell r="M497" t="str">
            <v>G1</v>
          </cell>
          <cell r="N497" t="str">
            <v>DIGITAL MEDIA</v>
          </cell>
          <cell r="O497" t="str">
            <v>A250</v>
          </cell>
          <cell r="P497" t="str">
            <v>DISPLAY</v>
          </cell>
          <cell r="Q497" t="str">
            <v>2024</v>
          </cell>
          <cell r="R497" t="str">
            <v>FZX363</v>
          </cell>
          <cell r="S497" t="str">
            <v>Falabella Retail S.A.</v>
          </cell>
          <cell r="T497" t="str">
            <v/>
          </cell>
          <cell r="U497" t="str">
            <v>CERRAR</v>
          </cell>
        </row>
        <row r="498">
          <cell r="C498" t="str">
            <v>T24C850000090</v>
          </cell>
          <cell r="D498" t="str">
            <v>A24C850000149</v>
          </cell>
          <cell r="E498">
            <v>1313775</v>
          </cell>
          <cell r="F498">
            <v>0</v>
          </cell>
          <cell r="G498" t="str">
            <v>Mobile Phone</v>
          </cell>
          <cell r="H498" t="str">
            <v>[1]HHP AON CAMPAIGN RETAILERS JANUARY</v>
          </cell>
          <cell r="I498" t="str">
            <v>Completed</v>
          </cell>
          <cell r="J498" t="str">
            <v>fernandez.r</v>
          </cell>
          <cell r="K498">
            <v>45301</v>
          </cell>
          <cell r="L498">
            <v>45382</v>
          </cell>
          <cell r="M498" t="str">
            <v>G1</v>
          </cell>
          <cell r="N498" t="str">
            <v>DIGITAL MEDIA</v>
          </cell>
          <cell r="O498" t="str">
            <v>A240</v>
          </cell>
          <cell r="P498" t="str">
            <v>SEARCH</v>
          </cell>
          <cell r="Q498" t="str">
            <v>2024</v>
          </cell>
          <cell r="R498" t="str">
            <v>FZX363</v>
          </cell>
          <cell r="S498" t="str">
            <v>Falabella Retail S.A.</v>
          </cell>
          <cell r="T498" t="str">
            <v/>
          </cell>
          <cell r="U498" t="str">
            <v>CERRAR</v>
          </cell>
        </row>
        <row r="499">
          <cell r="C499" t="str">
            <v>T24C850000090</v>
          </cell>
          <cell r="D499" t="str">
            <v>A24C850000149</v>
          </cell>
          <cell r="E499">
            <v>2300000</v>
          </cell>
          <cell r="F499">
            <v>0</v>
          </cell>
          <cell r="G499" t="str">
            <v>Mobile Phone</v>
          </cell>
          <cell r="H499" t="str">
            <v>[1]HHP AON CAMPAIGN RETAILERS JANUARY</v>
          </cell>
          <cell r="I499" t="str">
            <v>Completed</v>
          </cell>
          <cell r="J499" t="str">
            <v>fernandez.r</v>
          </cell>
          <cell r="K499">
            <v>45301</v>
          </cell>
          <cell r="L499">
            <v>45382</v>
          </cell>
          <cell r="M499" t="str">
            <v>G1</v>
          </cell>
          <cell r="N499" t="str">
            <v>DIGITAL MEDIA</v>
          </cell>
          <cell r="O499" t="str">
            <v>A240</v>
          </cell>
          <cell r="P499" t="str">
            <v>SEARCH</v>
          </cell>
          <cell r="Q499" t="str">
            <v>2024</v>
          </cell>
          <cell r="R499" t="str">
            <v>FZX363</v>
          </cell>
          <cell r="S499" t="str">
            <v>Falabella Retail S.A.</v>
          </cell>
          <cell r="T499" t="str">
            <v/>
          </cell>
          <cell r="U499" t="str">
            <v>CERRAR</v>
          </cell>
        </row>
        <row r="500">
          <cell r="C500" t="str">
            <v>T24C850000090</v>
          </cell>
          <cell r="D500" t="str">
            <v>A24C850000149</v>
          </cell>
          <cell r="E500">
            <v>0</v>
          </cell>
          <cell r="F500">
            <v>3613775</v>
          </cell>
          <cell r="G500" t="str">
            <v>Mobile Phone</v>
          </cell>
          <cell r="H500" t="str">
            <v>[1]HHP AON CAMPAIGN RETAILERS JANUARY</v>
          </cell>
          <cell r="I500" t="str">
            <v>Completed</v>
          </cell>
          <cell r="J500" t="str">
            <v>fernandez.r</v>
          </cell>
          <cell r="K500">
            <v>45301</v>
          </cell>
          <cell r="L500">
            <v>45382</v>
          </cell>
          <cell r="M500" t="str">
            <v>G1</v>
          </cell>
          <cell r="N500" t="str">
            <v>DIGITAL MEDIA</v>
          </cell>
          <cell r="O500" t="str">
            <v>A240</v>
          </cell>
          <cell r="P500" t="str">
            <v>SEARCH</v>
          </cell>
          <cell r="Q500" t="str">
            <v>2024</v>
          </cell>
          <cell r="R500" t="str">
            <v>FZX363</v>
          </cell>
          <cell r="S500" t="str">
            <v>Falabella Retail S.A.</v>
          </cell>
          <cell r="T500" t="str">
            <v/>
          </cell>
          <cell r="U500" t="str">
            <v>CERRAR</v>
          </cell>
        </row>
        <row r="501">
          <cell r="C501" t="str">
            <v>T24C850000094</v>
          </cell>
          <cell r="D501" t="str">
            <v>A24C850000150</v>
          </cell>
          <cell r="E501">
            <v>5000000</v>
          </cell>
          <cell r="F501">
            <v>0</v>
          </cell>
          <cell r="G501" t="str">
            <v>Mobile Phone</v>
          </cell>
          <cell r="H501" t="str">
            <v>[1]HHP EUREKA CAMPAIGN RETAILERS JANUARY</v>
          </cell>
          <cell r="I501" t="str">
            <v>Closed</v>
          </cell>
          <cell r="J501" t="str">
            <v>fernandez.r</v>
          </cell>
          <cell r="K501">
            <v>45303</v>
          </cell>
          <cell r="L501">
            <v>45382</v>
          </cell>
          <cell r="M501" t="str">
            <v>G1</v>
          </cell>
          <cell r="N501" t="str">
            <v>DIGITAL MEDIA</v>
          </cell>
          <cell r="O501" t="str">
            <v>A250</v>
          </cell>
          <cell r="P501" t="str">
            <v>DISPLAY</v>
          </cell>
          <cell r="Q501" t="str">
            <v>2024</v>
          </cell>
          <cell r="R501" t="str">
            <v>FZX363</v>
          </cell>
          <cell r="S501" t="str">
            <v>Falabella Retail S.A.</v>
          </cell>
          <cell r="T501" t="str">
            <v/>
          </cell>
          <cell r="U501" t="str">
            <v>CERRADA</v>
          </cell>
        </row>
        <row r="502">
          <cell r="C502" t="str">
            <v>T24C850000094</v>
          </cell>
          <cell r="D502" t="str">
            <v>A24C850000150</v>
          </cell>
          <cell r="E502">
            <v>5000000</v>
          </cell>
          <cell r="F502">
            <v>0</v>
          </cell>
          <cell r="G502" t="str">
            <v>Mobile Phone</v>
          </cell>
          <cell r="H502" t="str">
            <v>[1]HHP EUREKA CAMPAIGN RETAILERS JANUARY</v>
          </cell>
          <cell r="I502" t="str">
            <v>Closed</v>
          </cell>
          <cell r="J502" t="str">
            <v>fernandez.r</v>
          </cell>
          <cell r="K502">
            <v>45303</v>
          </cell>
          <cell r="L502">
            <v>45382</v>
          </cell>
          <cell r="M502" t="str">
            <v>G1</v>
          </cell>
          <cell r="N502" t="str">
            <v>DIGITAL MEDIA</v>
          </cell>
          <cell r="O502" t="str">
            <v>A250</v>
          </cell>
          <cell r="P502" t="str">
            <v>DISPLAY</v>
          </cell>
          <cell r="Q502" t="str">
            <v>2024</v>
          </cell>
          <cell r="R502" t="str">
            <v>FZX363</v>
          </cell>
          <cell r="S502" t="str">
            <v>Falabella Retail S.A.</v>
          </cell>
          <cell r="T502" t="str">
            <v/>
          </cell>
          <cell r="U502" t="str">
            <v>CERRADA</v>
          </cell>
        </row>
        <row r="503">
          <cell r="C503" t="str">
            <v>T24C850000094</v>
          </cell>
          <cell r="D503" t="str">
            <v>A24C850000150</v>
          </cell>
          <cell r="E503">
            <v>0</v>
          </cell>
          <cell r="F503">
            <v>10000000</v>
          </cell>
          <cell r="G503" t="str">
            <v>Mobile Phone</v>
          </cell>
          <cell r="H503" t="str">
            <v>[1]HHP EUREKA CAMPAIGN RETAILERS JANUARY</v>
          </cell>
          <cell r="I503" t="str">
            <v>Closed</v>
          </cell>
          <cell r="J503" t="str">
            <v>fernandez.r</v>
          </cell>
          <cell r="K503">
            <v>45303</v>
          </cell>
          <cell r="L503">
            <v>45382</v>
          </cell>
          <cell r="M503" t="str">
            <v>G1</v>
          </cell>
          <cell r="N503" t="str">
            <v>DIGITAL MEDIA</v>
          </cell>
          <cell r="O503" t="str">
            <v>A250</v>
          </cell>
          <cell r="P503" t="str">
            <v>DISPLAY</v>
          </cell>
          <cell r="Q503" t="str">
            <v>2024</v>
          </cell>
          <cell r="R503" t="str">
            <v>FZX363</v>
          </cell>
          <cell r="S503" t="str">
            <v>Falabella Retail S.A.</v>
          </cell>
          <cell r="T503" t="str">
            <v/>
          </cell>
          <cell r="U503" t="str">
            <v>CERRADA</v>
          </cell>
        </row>
        <row r="504">
          <cell r="C504" t="str">
            <v>T24C850000094</v>
          </cell>
          <cell r="D504" t="str">
            <v>A24C850000150</v>
          </cell>
          <cell r="E504">
            <v>5000000</v>
          </cell>
          <cell r="F504">
            <v>0</v>
          </cell>
          <cell r="G504" t="str">
            <v>Mobile Phone</v>
          </cell>
          <cell r="H504" t="str">
            <v>[1]HHP EUREKA CAMPAIGN RETAILERS JANUARY</v>
          </cell>
          <cell r="I504" t="str">
            <v>Closed</v>
          </cell>
          <cell r="J504" t="str">
            <v>fernandez.r</v>
          </cell>
          <cell r="K504">
            <v>45303</v>
          </cell>
          <cell r="L504">
            <v>45382</v>
          </cell>
          <cell r="M504" t="str">
            <v>G1</v>
          </cell>
          <cell r="N504" t="str">
            <v>DIGITAL MEDIA</v>
          </cell>
          <cell r="O504" t="str">
            <v>A240</v>
          </cell>
          <cell r="P504" t="str">
            <v>SEARCH</v>
          </cell>
          <cell r="Q504" t="str">
            <v>2024</v>
          </cell>
          <cell r="R504" t="str">
            <v>FZX363</v>
          </cell>
          <cell r="S504" t="str">
            <v>Falabella Retail S.A.</v>
          </cell>
          <cell r="T504" t="str">
            <v/>
          </cell>
          <cell r="U504" t="str">
            <v>CERRADA</v>
          </cell>
        </row>
        <row r="505">
          <cell r="C505" t="str">
            <v>T24C850000094</v>
          </cell>
          <cell r="D505" t="str">
            <v>A24C850000150</v>
          </cell>
          <cell r="E505">
            <v>16000000</v>
          </cell>
          <cell r="F505">
            <v>0</v>
          </cell>
          <cell r="G505" t="str">
            <v>Mobile Phone</v>
          </cell>
          <cell r="H505" t="str">
            <v>[1]HHP EUREKA CAMPAIGN RETAILERS JANUARY</v>
          </cell>
          <cell r="I505" t="str">
            <v>Closed</v>
          </cell>
          <cell r="J505" t="str">
            <v>fernandez.r</v>
          </cell>
          <cell r="K505">
            <v>45303</v>
          </cell>
          <cell r="L505">
            <v>45382</v>
          </cell>
          <cell r="M505" t="str">
            <v>G1</v>
          </cell>
          <cell r="N505" t="str">
            <v>DIGITAL MEDIA</v>
          </cell>
          <cell r="O505" t="str">
            <v>A240</v>
          </cell>
          <cell r="P505" t="str">
            <v>SEARCH</v>
          </cell>
          <cell r="Q505" t="str">
            <v>2024</v>
          </cell>
          <cell r="R505" t="str">
            <v>FZX363</v>
          </cell>
          <cell r="S505" t="str">
            <v>Falabella Retail S.A.</v>
          </cell>
          <cell r="T505" t="str">
            <v/>
          </cell>
          <cell r="U505" t="str">
            <v>CERRADA</v>
          </cell>
        </row>
        <row r="506">
          <cell r="C506" t="str">
            <v>T24C850000094</v>
          </cell>
          <cell r="D506" t="str">
            <v>A24C850000150</v>
          </cell>
          <cell r="E506">
            <v>0</v>
          </cell>
          <cell r="F506">
            <v>21000000</v>
          </cell>
          <cell r="G506" t="str">
            <v>Mobile Phone</v>
          </cell>
          <cell r="H506" t="str">
            <v>[1]HHP EUREKA CAMPAIGN RETAILERS JANUARY</v>
          </cell>
          <cell r="I506" t="str">
            <v>Closed</v>
          </cell>
          <cell r="J506" t="str">
            <v>fernandez.r</v>
          </cell>
          <cell r="K506">
            <v>45303</v>
          </cell>
          <cell r="L506">
            <v>45382</v>
          </cell>
          <cell r="M506" t="str">
            <v>G1</v>
          </cell>
          <cell r="N506" t="str">
            <v>DIGITAL MEDIA</v>
          </cell>
          <cell r="O506" t="str">
            <v>A240</v>
          </cell>
          <cell r="P506" t="str">
            <v>SEARCH</v>
          </cell>
          <cell r="Q506" t="str">
            <v>2024</v>
          </cell>
          <cell r="R506" t="str">
            <v>FZX363</v>
          </cell>
          <cell r="S506" t="str">
            <v>Falabella Retail S.A.</v>
          </cell>
          <cell r="T506" t="str">
            <v/>
          </cell>
          <cell r="U506" t="str">
            <v>CERRADA</v>
          </cell>
        </row>
        <row r="507">
          <cell r="C507" t="str">
            <v>T24C850000094</v>
          </cell>
          <cell r="D507" t="str">
            <v>A24C850000150</v>
          </cell>
          <cell r="E507">
            <v>5000000</v>
          </cell>
          <cell r="F507">
            <v>0</v>
          </cell>
          <cell r="G507" t="str">
            <v>Mobile Phone</v>
          </cell>
          <cell r="H507" t="str">
            <v>[1]HHP EUREKA CAMPAIGN RETAILERS JANUARY</v>
          </cell>
          <cell r="I507" t="str">
            <v>Closed</v>
          </cell>
          <cell r="J507" t="str">
            <v>fernandez.r</v>
          </cell>
          <cell r="K507">
            <v>45303</v>
          </cell>
          <cell r="L507">
            <v>45382</v>
          </cell>
          <cell r="M507" t="str">
            <v>G1</v>
          </cell>
          <cell r="N507" t="str">
            <v>DIGITAL MEDIA</v>
          </cell>
          <cell r="O507" t="str">
            <v>A230</v>
          </cell>
          <cell r="P507" t="str">
            <v>SOCIAL ADS</v>
          </cell>
          <cell r="Q507" t="str">
            <v>2024</v>
          </cell>
          <cell r="R507" t="str">
            <v>FZX363</v>
          </cell>
          <cell r="S507" t="str">
            <v>Falabella Retail S.A.</v>
          </cell>
          <cell r="T507" t="str">
            <v/>
          </cell>
          <cell r="U507" t="str">
            <v>CERRADA</v>
          </cell>
        </row>
        <row r="508">
          <cell r="C508" t="str">
            <v>T24C850000094</v>
          </cell>
          <cell r="D508" t="str">
            <v>A24C850000150</v>
          </cell>
          <cell r="E508">
            <v>17000000</v>
          </cell>
          <cell r="F508">
            <v>0</v>
          </cell>
          <cell r="G508" t="str">
            <v>Mobile Phone</v>
          </cell>
          <cell r="H508" t="str">
            <v>[1]HHP EUREKA CAMPAIGN RETAILERS JANUARY</v>
          </cell>
          <cell r="I508" t="str">
            <v>Closed</v>
          </cell>
          <cell r="J508" t="str">
            <v>fernandez.r</v>
          </cell>
          <cell r="K508">
            <v>45303</v>
          </cell>
          <cell r="L508">
            <v>45382</v>
          </cell>
          <cell r="M508" t="str">
            <v>G1</v>
          </cell>
          <cell r="N508" t="str">
            <v>DIGITAL MEDIA</v>
          </cell>
          <cell r="O508" t="str">
            <v>A230</v>
          </cell>
          <cell r="P508" t="str">
            <v>SOCIAL ADS</v>
          </cell>
          <cell r="Q508" t="str">
            <v>2024</v>
          </cell>
          <cell r="R508" t="str">
            <v>FZX363</v>
          </cell>
          <cell r="S508" t="str">
            <v>Falabella Retail S.A.</v>
          </cell>
          <cell r="T508" t="str">
            <v/>
          </cell>
          <cell r="U508" t="str">
            <v>CERRADA</v>
          </cell>
        </row>
        <row r="509">
          <cell r="C509" t="str">
            <v>T24C850000094</v>
          </cell>
          <cell r="D509" t="str">
            <v>A24C850000150</v>
          </cell>
          <cell r="E509">
            <v>0</v>
          </cell>
          <cell r="F509">
            <v>22000000</v>
          </cell>
          <cell r="G509" t="str">
            <v>Mobile Phone</v>
          </cell>
          <cell r="H509" t="str">
            <v>[1]HHP EUREKA CAMPAIGN RETAILERS JANUARY</v>
          </cell>
          <cell r="I509" t="str">
            <v>Closed</v>
          </cell>
          <cell r="J509" t="str">
            <v>fernandez.r</v>
          </cell>
          <cell r="K509">
            <v>45303</v>
          </cell>
          <cell r="L509">
            <v>45382</v>
          </cell>
          <cell r="M509" t="str">
            <v>G1</v>
          </cell>
          <cell r="N509" t="str">
            <v>DIGITAL MEDIA</v>
          </cell>
          <cell r="O509" t="str">
            <v>A230</v>
          </cell>
          <cell r="P509" t="str">
            <v>SOCIAL ADS</v>
          </cell>
          <cell r="Q509" t="str">
            <v>2024</v>
          </cell>
          <cell r="R509" t="str">
            <v>FZX363</v>
          </cell>
          <cell r="S509" t="str">
            <v>Falabella Retail S.A.</v>
          </cell>
          <cell r="T509" t="str">
            <v/>
          </cell>
          <cell r="U509" t="str">
            <v>CERRADA</v>
          </cell>
        </row>
        <row r="510">
          <cell r="C510" t="str">
            <v>T24C850000094</v>
          </cell>
          <cell r="D510" t="str">
            <v>A24C850000150</v>
          </cell>
          <cell r="E510">
            <v>28000000</v>
          </cell>
          <cell r="F510">
            <v>0</v>
          </cell>
          <cell r="G510" t="str">
            <v>Mobile Phone</v>
          </cell>
          <cell r="H510" t="str">
            <v>[1]HHP EUREKA CAMPAIGN RETAILERS JANUARY</v>
          </cell>
          <cell r="I510" t="str">
            <v>Closed</v>
          </cell>
          <cell r="J510" t="str">
            <v>fernandez.r</v>
          </cell>
          <cell r="K510">
            <v>45303</v>
          </cell>
          <cell r="L510">
            <v>45382</v>
          </cell>
          <cell r="M510" t="str">
            <v>G1</v>
          </cell>
          <cell r="N510" t="str">
            <v>TRADITIONAL MEDIA</v>
          </cell>
          <cell r="O510" t="str">
            <v>A110</v>
          </cell>
          <cell r="P510" t="str">
            <v>ADS TV</v>
          </cell>
          <cell r="Q510" t="str">
            <v>2024</v>
          </cell>
          <cell r="R510" t="str">
            <v>FZX363</v>
          </cell>
          <cell r="S510" t="str">
            <v>Falabella Retail S.A.</v>
          </cell>
          <cell r="T510" t="str">
            <v/>
          </cell>
          <cell r="U510" t="str">
            <v>CERRADA</v>
          </cell>
        </row>
        <row r="511">
          <cell r="C511" t="str">
            <v>T24C850000094</v>
          </cell>
          <cell r="D511" t="str">
            <v>A24C850000150</v>
          </cell>
          <cell r="E511">
            <v>8000000</v>
          </cell>
          <cell r="F511">
            <v>0</v>
          </cell>
          <cell r="G511" t="str">
            <v>Mobile Phone</v>
          </cell>
          <cell r="H511" t="str">
            <v>[1]HHP EUREKA CAMPAIGN RETAILERS JANUARY</v>
          </cell>
          <cell r="I511" t="str">
            <v>Closed</v>
          </cell>
          <cell r="J511" t="str">
            <v>fernandez.r</v>
          </cell>
          <cell r="K511">
            <v>45303</v>
          </cell>
          <cell r="L511">
            <v>45382</v>
          </cell>
          <cell r="M511" t="str">
            <v>G1</v>
          </cell>
          <cell r="N511" t="str">
            <v>TRADITIONAL MEDIA</v>
          </cell>
          <cell r="O511" t="str">
            <v>A110</v>
          </cell>
          <cell r="P511" t="str">
            <v>ADS TV</v>
          </cell>
          <cell r="Q511" t="str">
            <v>2024</v>
          </cell>
          <cell r="R511" t="str">
            <v>FZX363</v>
          </cell>
          <cell r="S511" t="str">
            <v>Falabella Retail S.A.</v>
          </cell>
          <cell r="T511" t="str">
            <v/>
          </cell>
          <cell r="U511" t="str">
            <v>CERRADA</v>
          </cell>
        </row>
        <row r="512">
          <cell r="C512" t="str">
            <v>T24C850000094</v>
          </cell>
          <cell r="D512" t="str">
            <v>A24C850000150</v>
          </cell>
          <cell r="E512">
            <v>0</v>
          </cell>
          <cell r="F512">
            <v>36000000</v>
          </cell>
          <cell r="G512" t="str">
            <v>Mobile Phone</v>
          </cell>
          <cell r="H512" t="str">
            <v>[1]HHP EUREKA CAMPAIGN RETAILERS JANUARY</v>
          </cell>
          <cell r="I512" t="str">
            <v>Closed</v>
          </cell>
          <cell r="J512" t="str">
            <v>fernandez.r</v>
          </cell>
          <cell r="K512">
            <v>45303</v>
          </cell>
          <cell r="L512">
            <v>45382</v>
          </cell>
          <cell r="M512" t="str">
            <v>G1</v>
          </cell>
          <cell r="N512" t="str">
            <v>TRADITIONAL MEDIA</v>
          </cell>
          <cell r="O512" t="str">
            <v>A110</v>
          </cell>
          <cell r="P512" t="str">
            <v>ADS TV</v>
          </cell>
          <cell r="Q512" t="str">
            <v>2024</v>
          </cell>
          <cell r="R512" t="str">
            <v>FZX363</v>
          </cell>
          <cell r="S512" t="str">
            <v>Falabella Retail S.A.</v>
          </cell>
          <cell r="T512" t="str">
            <v/>
          </cell>
          <cell r="U512" t="str">
            <v>CERRADA</v>
          </cell>
        </row>
        <row r="513">
          <cell r="C513" t="str">
            <v>T24C850000094</v>
          </cell>
          <cell r="D513" t="str">
            <v>A24C850000150</v>
          </cell>
          <cell r="E513">
            <v>2000000</v>
          </cell>
          <cell r="F513">
            <v>0</v>
          </cell>
          <cell r="G513" t="str">
            <v>Mobile Phone</v>
          </cell>
          <cell r="H513" t="str">
            <v>[1]HHP EUREKA CAMPAIGN RETAILERS JANUARY</v>
          </cell>
          <cell r="I513" t="str">
            <v>Closed</v>
          </cell>
          <cell r="J513" t="str">
            <v>fernandez.r</v>
          </cell>
          <cell r="K513">
            <v>45303</v>
          </cell>
          <cell r="L513">
            <v>45382</v>
          </cell>
          <cell r="M513" t="str">
            <v>G1</v>
          </cell>
          <cell r="N513" t="str">
            <v>TRADITIONAL MEDIA</v>
          </cell>
          <cell r="O513" t="str">
            <v>A130</v>
          </cell>
          <cell r="P513" t="str">
            <v>ADS NEWSPAPER</v>
          </cell>
          <cell r="Q513" t="str">
            <v>2024</v>
          </cell>
          <cell r="R513" t="str">
            <v>FZX363</v>
          </cell>
          <cell r="S513" t="str">
            <v>Falabella Retail S.A.</v>
          </cell>
          <cell r="T513" t="str">
            <v/>
          </cell>
          <cell r="U513" t="str">
            <v>CERRADA</v>
          </cell>
        </row>
        <row r="514">
          <cell r="C514" t="str">
            <v>T24C850000094</v>
          </cell>
          <cell r="D514" t="str">
            <v>A24C850000150</v>
          </cell>
          <cell r="E514">
            <v>2000000</v>
          </cell>
          <cell r="F514">
            <v>0</v>
          </cell>
          <cell r="G514" t="str">
            <v>Mobile Phone</v>
          </cell>
          <cell r="H514" t="str">
            <v>[1]HHP EUREKA CAMPAIGN RETAILERS JANUARY</v>
          </cell>
          <cell r="I514" t="str">
            <v>Closed</v>
          </cell>
          <cell r="J514" t="str">
            <v>fernandez.r</v>
          </cell>
          <cell r="K514">
            <v>45303</v>
          </cell>
          <cell r="L514">
            <v>45382</v>
          </cell>
          <cell r="M514" t="str">
            <v>G1</v>
          </cell>
          <cell r="N514" t="str">
            <v>TRADITIONAL MEDIA</v>
          </cell>
          <cell r="O514" t="str">
            <v>A130</v>
          </cell>
          <cell r="P514" t="str">
            <v>ADS NEWSPAPER</v>
          </cell>
          <cell r="Q514" t="str">
            <v>2024</v>
          </cell>
          <cell r="R514" t="str">
            <v>FZX363</v>
          </cell>
          <cell r="S514" t="str">
            <v>Falabella Retail S.A.</v>
          </cell>
          <cell r="T514" t="str">
            <v/>
          </cell>
          <cell r="U514" t="str">
            <v>CERRADA</v>
          </cell>
        </row>
        <row r="515">
          <cell r="C515" t="str">
            <v>T24C850000094</v>
          </cell>
          <cell r="D515" t="str">
            <v>A24C850000150</v>
          </cell>
          <cell r="E515">
            <v>0</v>
          </cell>
          <cell r="F515">
            <v>4000000</v>
          </cell>
          <cell r="G515" t="str">
            <v>Mobile Phone</v>
          </cell>
          <cell r="H515" t="str">
            <v>[1]HHP EUREKA CAMPAIGN RETAILERS JANUARY</v>
          </cell>
          <cell r="I515" t="str">
            <v>Closed</v>
          </cell>
          <cell r="J515" t="str">
            <v>fernandez.r</v>
          </cell>
          <cell r="K515">
            <v>45303</v>
          </cell>
          <cell r="L515">
            <v>45382</v>
          </cell>
          <cell r="M515" t="str">
            <v>G1</v>
          </cell>
          <cell r="N515" t="str">
            <v>TRADITIONAL MEDIA</v>
          </cell>
          <cell r="O515" t="str">
            <v>A130</v>
          </cell>
          <cell r="P515" t="str">
            <v>ADS NEWSPAPER</v>
          </cell>
          <cell r="Q515" t="str">
            <v>2024</v>
          </cell>
          <cell r="R515" t="str">
            <v>FZX363</v>
          </cell>
          <cell r="S515" t="str">
            <v>Falabella Retail S.A.</v>
          </cell>
          <cell r="T515" t="str">
            <v/>
          </cell>
          <cell r="U515" t="str">
            <v>CERRADA</v>
          </cell>
        </row>
        <row r="516">
          <cell r="C516" t="str">
            <v>T24C850000134</v>
          </cell>
          <cell r="D516" t="str">
            <v>A24C850000241</v>
          </cell>
          <cell r="E516">
            <v>757295</v>
          </cell>
          <cell r="F516">
            <v>0</v>
          </cell>
          <cell r="G516" t="str">
            <v>Mobile Phone</v>
          </cell>
          <cell r="H516" t="str">
            <v>[1]HHP /R.FALCON/FALABELLA PARQUE ARAUCO FLAGSHIP MODULE-MX</v>
          </cell>
          <cell r="I516" t="str">
            <v>Closed</v>
          </cell>
          <cell r="J516" t="str">
            <v>y.malave</v>
          </cell>
          <cell r="K516">
            <v>45306</v>
          </cell>
          <cell r="L516">
            <v>45443</v>
          </cell>
          <cell r="M516" t="str">
            <v>G1</v>
          </cell>
          <cell r="N516" t="str">
            <v>RETAIL</v>
          </cell>
          <cell r="O516" t="str">
            <v>B120</v>
          </cell>
          <cell r="P516" t="str">
            <v>SHELF MERCHANDISING</v>
          </cell>
          <cell r="Q516" t="str">
            <v>2024</v>
          </cell>
          <cell r="R516" t="str">
            <v>FZX363</v>
          </cell>
          <cell r="S516" t="str">
            <v>Falabella Retail S.A.</v>
          </cell>
          <cell r="T516" t="str">
            <v/>
          </cell>
        </row>
        <row r="517">
          <cell r="C517" t="str">
            <v>T24C850000134</v>
          </cell>
          <cell r="D517" t="str">
            <v>A24C850000241</v>
          </cell>
          <cell r="E517">
            <v>757295</v>
          </cell>
          <cell r="F517">
            <v>0</v>
          </cell>
          <cell r="G517" t="str">
            <v>Mobile Phone</v>
          </cell>
          <cell r="H517" t="str">
            <v>[1]HHP /R.FALCON/FALABELLA PARQUE ARAUCO FLAGSHIP MODULE-MX</v>
          </cell>
          <cell r="I517" t="str">
            <v>Closed</v>
          </cell>
          <cell r="J517" t="str">
            <v>y.malave</v>
          </cell>
          <cell r="K517">
            <v>45306</v>
          </cell>
          <cell r="L517">
            <v>45443</v>
          </cell>
          <cell r="M517" t="str">
            <v>G1</v>
          </cell>
          <cell r="N517" t="str">
            <v>RETAIL</v>
          </cell>
          <cell r="O517" t="str">
            <v>B120</v>
          </cell>
          <cell r="P517" t="str">
            <v>SHELF MERCHANDISING</v>
          </cell>
          <cell r="Q517" t="str">
            <v>2024</v>
          </cell>
          <cell r="R517" t="str">
            <v>FZX363</v>
          </cell>
          <cell r="S517" t="str">
            <v>Falabella Retail S.A.</v>
          </cell>
          <cell r="T517" t="str">
            <v/>
          </cell>
        </row>
        <row r="518">
          <cell r="C518" t="str">
            <v>T24C850000134</v>
          </cell>
          <cell r="D518" t="str">
            <v>A24C850000241</v>
          </cell>
          <cell r="E518">
            <v>757295</v>
          </cell>
          <cell r="F518">
            <v>0</v>
          </cell>
          <cell r="G518" t="str">
            <v>Mobile Phone</v>
          </cell>
          <cell r="H518" t="str">
            <v>[1]HHP /R.FALCON/FALABELLA PARQUE ARAUCO FLAGSHIP MODULE-MX</v>
          </cell>
          <cell r="I518" t="str">
            <v>Closed</v>
          </cell>
          <cell r="J518" t="str">
            <v>y.malave</v>
          </cell>
          <cell r="K518">
            <v>45306</v>
          </cell>
          <cell r="L518">
            <v>45443</v>
          </cell>
          <cell r="M518" t="str">
            <v>G1</v>
          </cell>
          <cell r="N518" t="str">
            <v>RETAIL</v>
          </cell>
          <cell r="O518" t="str">
            <v>B120</v>
          </cell>
          <cell r="P518" t="str">
            <v>SHELF MERCHANDISING</v>
          </cell>
          <cell r="Q518" t="str">
            <v>2024</v>
          </cell>
          <cell r="R518" t="str">
            <v>FZX363</v>
          </cell>
          <cell r="S518" t="str">
            <v>Falabella Retail S.A.</v>
          </cell>
          <cell r="T518" t="str">
            <v/>
          </cell>
        </row>
        <row r="519">
          <cell r="C519" t="str">
            <v>T24C850000134</v>
          </cell>
          <cell r="D519" t="str">
            <v>A24C850000241</v>
          </cell>
          <cell r="E519">
            <v>757295</v>
          </cell>
          <cell r="F519">
            <v>0</v>
          </cell>
          <cell r="G519" t="str">
            <v>Mobile Phone</v>
          </cell>
          <cell r="H519" t="str">
            <v>[1]HHP /R.FALCON/FALABELLA PARQUE ARAUCO FLAGSHIP MODULE-MX</v>
          </cell>
          <cell r="I519" t="str">
            <v>Closed</v>
          </cell>
          <cell r="J519" t="str">
            <v>y.malave</v>
          </cell>
          <cell r="K519">
            <v>45306</v>
          </cell>
          <cell r="L519">
            <v>45443</v>
          </cell>
          <cell r="M519" t="str">
            <v>G1</v>
          </cell>
          <cell r="N519" t="str">
            <v>RETAIL</v>
          </cell>
          <cell r="O519" t="str">
            <v>B120</v>
          </cell>
          <cell r="P519" t="str">
            <v>SHELF MERCHANDISING</v>
          </cell>
          <cell r="Q519" t="str">
            <v>2024</v>
          </cell>
          <cell r="R519" t="str">
            <v>FZX363</v>
          </cell>
          <cell r="S519" t="str">
            <v>Falabella Retail S.A.</v>
          </cell>
          <cell r="T519" t="str">
            <v/>
          </cell>
        </row>
        <row r="520">
          <cell r="C520" t="str">
            <v>T24C850000134</v>
          </cell>
          <cell r="D520" t="str">
            <v>A24C850000241</v>
          </cell>
          <cell r="E520">
            <v>757295</v>
          </cell>
          <cell r="F520">
            <v>757295</v>
          </cell>
          <cell r="G520" t="str">
            <v>Mobile Phone</v>
          </cell>
          <cell r="H520" t="str">
            <v>[1]HHP /R.FALCON/FALABELLA PARQUE ARAUCO FLAGSHIP MODULE-MX</v>
          </cell>
          <cell r="I520" t="str">
            <v>Closed</v>
          </cell>
          <cell r="J520" t="str">
            <v>y.malave</v>
          </cell>
          <cell r="K520">
            <v>45306</v>
          </cell>
          <cell r="L520">
            <v>45443</v>
          </cell>
          <cell r="M520" t="str">
            <v>G1</v>
          </cell>
          <cell r="N520" t="str">
            <v>RETAIL</v>
          </cell>
          <cell r="O520" t="str">
            <v>B120</v>
          </cell>
          <cell r="P520" t="str">
            <v>SHELF MERCHANDISING</v>
          </cell>
          <cell r="Q520" t="str">
            <v>2024</v>
          </cell>
          <cell r="R520" t="str">
            <v>FZX363</v>
          </cell>
          <cell r="S520" t="str">
            <v>Falabella Retail S.A.</v>
          </cell>
          <cell r="T520" t="str">
            <v/>
          </cell>
        </row>
        <row r="521">
          <cell r="C521" t="str">
            <v>T24C850000134</v>
          </cell>
          <cell r="D521" t="str">
            <v>A24C850000241</v>
          </cell>
          <cell r="E521">
            <v>0</v>
          </cell>
          <cell r="F521">
            <v>1514590</v>
          </cell>
          <cell r="G521" t="str">
            <v>Mobile Phone</v>
          </cell>
          <cell r="H521" t="str">
            <v>[1]HHP /R.FALCON/FALABELLA PARQUE ARAUCO FLAGSHIP MODULE-MX</v>
          </cell>
          <cell r="I521" t="str">
            <v>Closed</v>
          </cell>
          <cell r="J521" t="str">
            <v>y.malave</v>
          </cell>
          <cell r="K521">
            <v>45306</v>
          </cell>
          <cell r="L521">
            <v>45443</v>
          </cell>
          <cell r="M521" t="str">
            <v>G1</v>
          </cell>
          <cell r="N521" t="str">
            <v>RETAIL</v>
          </cell>
          <cell r="O521" t="str">
            <v>B120</v>
          </cell>
          <cell r="P521" t="str">
            <v>SHELF MERCHANDISING</v>
          </cell>
          <cell r="Q521" t="str">
            <v>2024</v>
          </cell>
          <cell r="R521" t="str">
            <v>FZX363</v>
          </cell>
          <cell r="S521" t="str">
            <v>Falabella Retail S.A.</v>
          </cell>
          <cell r="T521" t="str">
            <v/>
          </cell>
        </row>
        <row r="522">
          <cell r="C522" t="str">
            <v>T24C850000134</v>
          </cell>
          <cell r="D522" t="str">
            <v>A24C850000241</v>
          </cell>
          <cell r="E522">
            <v>0</v>
          </cell>
          <cell r="F522">
            <v>1514590</v>
          </cell>
          <cell r="G522" t="str">
            <v>Mobile Phone</v>
          </cell>
          <cell r="H522" t="str">
            <v>[1]HHP /R.FALCON/FALABELLA PARQUE ARAUCO FLAGSHIP MODULE-MX</v>
          </cell>
          <cell r="I522" t="str">
            <v>Closed</v>
          </cell>
          <cell r="J522" t="str">
            <v>y.malave</v>
          </cell>
          <cell r="K522">
            <v>45306</v>
          </cell>
          <cell r="L522">
            <v>45443</v>
          </cell>
          <cell r="M522" t="str">
            <v>G1</v>
          </cell>
          <cell r="N522" t="str">
            <v>RETAIL</v>
          </cell>
          <cell r="O522" t="str">
            <v>B120</v>
          </cell>
          <cell r="P522" t="str">
            <v>SHELF MERCHANDISING</v>
          </cell>
          <cell r="Q522" t="str">
            <v>2024</v>
          </cell>
          <cell r="R522" t="str">
            <v>FZX363</v>
          </cell>
          <cell r="S522" t="str">
            <v>Falabella Retail S.A.</v>
          </cell>
          <cell r="T522" t="str">
            <v/>
          </cell>
        </row>
        <row r="523">
          <cell r="C523" t="str">
            <v>T24C850000189</v>
          </cell>
          <cell r="D523" t="str">
            <v>A24C850000301</v>
          </cell>
          <cell r="E523">
            <v>110368143</v>
          </cell>
          <cell r="F523">
            <v>0</v>
          </cell>
          <cell r="G523" t="str">
            <v>Mobile Phone</v>
          </cell>
          <cell r="H523" t="str">
            <v>[1]PUMI APPROVED/HHP/V.GONZALEZG/PURCHASE RDU EUREKA (FALABELLA-ENTEL)</v>
          </cell>
          <cell r="I523" t="str">
            <v>Closed</v>
          </cell>
          <cell r="J523" t="str">
            <v>y.malave</v>
          </cell>
          <cell r="K523">
            <v>45315</v>
          </cell>
          <cell r="L523">
            <v>45382</v>
          </cell>
          <cell r="M523" t="str">
            <v>G1</v>
          </cell>
          <cell r="N523" t="str">
            <v>RETAIL</v>
          </cell>
          <cell r="O523" t="str">
            <v>B120</v>
          </cell>
          <cell r="P523" t="str">
            <v>SHELF MERCHANDISING</v>
          </cell>
          <cell r="Q523" t="str">
            <v>2024</v>
          </cell>
          <cell r="R523" t="str">
            <v>FZX363</v>
          </cell>
          <cell r="S523" t="str">
            <v>Falabella Retail S.A.</v>
          </cell>
          <cell r="T523" t="str">
            <v/>
          </cell>
        </row>
        <row r="524">
          <cell r="C524" t="str">
            <v>T24C850000189</v>
          </cell>
          <cell r="D524" t="str">
            <v>A24C850000301</v>
          </cell>
          <cell r="E524">
            <v>0</v>
          </cell>
          <cell r="F524">
            <v>110368143</v>
          </cell>
          <cell r="G524" t="str">
            <v>Mobile Phone</v>
          </cell>
          <cell r="H524" t="str">
            <v>[1]PUMI APPROVED/HHP/V.GONZALEZG/PURCHASE RDU EUREKA (FALABELLA-ENTEL)</v>
          </cell>
          <cell r="I524" t="str">
            <v>Closed</v>
          </cell>
          <cell r="J524" t="str">
            <v>y.malave</v>
          </cell>
          <cell r="K524">
            <v>45315</v>
          </cell>
          <cell r="L524">
            <v>45382</v>
          </cell>
          <cell r="M524" t="str">
            <v>G1</v>
          </cell>
          <cell r="N524" t="str">
            <v>RETAIL</v>
          </cell>
          <cell r="O524" t="str">
            <v>B120</v>
          </cell>
          <cell r="P524" t="str">
            <v>SHELF MERCHANDISING</v>
          </cell>
          <cell r="Q524" t="str">
            <v>2024</v>
          </cell>
          <cell r="R524" t="str">
            <v>FZX363</v>
          </cell>
          <cell r="S524" t="str">
            <v>Falabella Retail S.A.</v>
          </cell>
          <cell r="T524" t="str">
            <v/>
          </cell>
        </row>
        <row r="525">
          <cell r="C525" t="str">
            <v>T24C850000193</v>
          </cell>
          <cell r="D525" t="str">
            <v>A24C850000316</v>
          </cell>
          <cell r="E525">
            <v>500000</v>
          </cell>
          <cell r="F525">
            <v>0</v>
          </cell>
          <cell r="G525" t="str">
            <v>Mobile Phone</v>
          </cell>
          <cell r="H525" t="str">
            <v>[1]FSM INCENTIVE/ HHP/ R.FALCON / FSM INCENTIVE FALABELLA - S24</v>
          </cell>
          <cell r="I525" t="str">
            <v>Closed</v>
          </cell>
          <cell r="J525" t="str">
            <v>y.malave</v>
          </cell>
          <cell r="K525">
            <v>45316</v>
          </cell>
          <cell r="L525">
            <v>45382</v>
          </cell>
          <cell r="M525" t="str">
            <v>G1</v>
          </cell>
          <cell r="N525" t="str">
            <v>SALES PROMOTION</v>
          </cell>
          <cell r="O525" t="str">
            <v>B230</v>
          </cell>
          <cell r="P525" t="str">
            <v>SALES STAFF INCENTIVE</v>
          </cell>
          <cell r="Q525" t="str">
            <v>2024</v>
          </cell>
          <cell r="R525" t="str">
            <v>FZX363</v>
          </cell>
          <cell r="S525" t="str">
            <v>Falabella Retail S.A.</v>
          </cell>
          <cell r="T525" t="str">
            <v/>
          </cell>
        </row>
        <row r="526">
          <cell r="C526" t="str">
            <v>T24C850000193</v>
          </cell>
          <cell r="D526" t="str">
            <v>A24C850000316</v>
          </cell>
          <cell r="E526">
            <v>2800000</v>
          </cell>
          <cell r="F526">
            <v>0</v>
          </cell>
          <cell r="G526" t="str">
            <v>Mobile Phone</v>
          </cell>
          <cell r="H526" t="str">
            <v>[1]FSM INCENTIVE/ HHP/ R.FALCON / FSM INCENTIVE FALABELLA - S24</v>
          </cell>
          <cell r="I526" t="str">
            <v>Closed</v>
          </cell>
          <cell r="J526" t="str">
            <v>y.malave</v>
          </cell>
          <cell r="K526">
            <v>45316</v>
          </cell>
          <cell r="L526">
            <v>45382</v>
          </cell>
          <cell r="M526" t="str">
            <v>G1</v>
          </cell>
          <cell r="N526" t="str">
            <v>SALES PROMOTION</v>
          </cell>
          <cell r="O526" t="str">
            <v>B230</v>
          </cell>
          <cell r="P526" t="str">
            <v>SALES STAFF INCENTIVE</v>
          </cell>
          <cell r="Q526" t="str">
            <v>2024</v>
          </cell>
          <cell r="R526" t="str">
            <v>FZX363</v>
          </cell>
          <cell r="S526" t="str">
            <v>Falabella Retail S.A.</v>
          </cell>
          <cell r="T526" t="str">
            <v/>
          </cell>
        </row>
        <row r="527">
          <cell r="C527" t="str">
            <v>T24C850000193</v>
          </cell>
          <cell r="D527" t="str">
            <v>A24C850000316</v>
          </cell>
          <cell r="E527">
            <v>0</v>
          </cell>
          <cell r="F527">
            <v>2340000</v>
          </cell>
          <cell r="G527" t="str">
            <v>Mobile Phone</v>
          </cell>
          <cell r="H527" t="str">
            <v>[1]FSM INCENTIVE/ HHP/ R.FALCON / FSM INCENTIVE FALABELLA - S24</v>
          </cell>
          <cell r="I527" t="str">
            <v>Closed</v>
          </cell>
          <cell r="J527" t="str">
            <v>y.malave</v>
          </cell>
          <cell r="K527">
            <v>45316</v>
          </cell>
          <cell r="L527">
            <v>45382</v>
          </cell>
          <cell r="M527" t="str">
            <v>G1</v>
          </cell>
          <cell r="N527" t="str">
            <v>SALES PROMOTION</v>
          </cell>
          <cell r="O527" t="str">
            <v>B230</v>
          </cell>
          <cell r="P527" t="str">
            <v>SALES STAFF INCENTIVE</v>
          </cell>
          <cell r="Q527" t="str">
            <v>2024</v>
          </cell>
          <cell r="R527" t="str">
            <v>FZX363</v>
          </cell>
          <cell r="S527" t="str">
            <v>Falabella Retail S.A.</v>
          </cell>
          <cell r="T527" t="str">
            <v/>
          </cell>
        </row>
        <row r="528">
          <cell r="C528" t="str">
            <v>T24C850000193</v>
          </cell>
          <cell r="D528" t="str">
            <v>A24C850000316</v>
          </cell>
          <cell r="E528">
            <v>-960000</v>
          </cell>
          <cell r="F528">
            <v>0</v>
          </cell>
          <cell r="G528" t="str">
            <v>Mobile Phone</v>
          </cell>
          <cell r="H528" t="str">
            <v>[1]FSM INCENTIVE/ HHP/ R.FALCON / FSM INCENTIVE FALABELLA - S24</v>
          </cell>
          <cell r="I528" t="str">
            <v>Closed</v>
          </cell>
          <cell r="J528" t="str">
            <v>y.malave</v>
          </cell>
          <cell r="K528">
            <v>45316</v>
          </cell>
          <cell r="L528">
            <v>45382</v>
          </cell>
          <cell r="M528" t="str">
            <v>G1</v>
          </cell>
          <cell r="N528" t="str">
            <v>SALES PROMOTION</v>
          </cell>
          <cell r="O528" t="str">
            <v>B230</v>
          </cell>
          <cell r="P528" t="str">
            <v>SALES STAFF INCENTIVE</v>
          </cell>
          <cell r="Q528" t="str">
            <v>2024</v>
          </cell>
          <cell r="R528" t="str">
            <v>FZX363</v>
          </cell>
          <cell r="S528" t="str">
            <v>Falabella Retail S.A.</v>
          </cell>
          <cell r="T528" t="str">
            <v/>
          </cell>
        </row>
        <row r="529">
          <cell r="C529" t="str">
            <v>T24C850000260</v>
          </cell>
          <cell r="D529" t="str">
            <v>A24C850000382</v>
          </cell>
          <cell r="E529">
            <v>2000000</v>
          </cell>
          <cell r="F529">
            <v>0</v>
          </cell>
          <cell r="G529" t="str">
            <v>Mobile Phone</v>
          </cell>
          <cell r="H529" t="str">
            <v>[1]WEAR AON CAMPAIGN RETAILERS FEBRUARY &amp; MARCH</v>
          </cell>
          <cell r="I529" t="str">
            <v>Closed</v>
          </cell>
          <cell r="J529" t="str">
            <v>fernandez.r</v>
          </cell>
          <cell r="K529">
            <v>45337</v>
          </cell>
          <cell r="L529">
            <v>45443</v>
          </cell>
          <cell r="M529" t="str">
            <v>G1</v>
          </cell>
          <cell r="N529" t="str">
            <v>DIGITAL MEDIA</v>
          </cell>
          <cell r="O529" t="str">
            <v>A240</v>
          </cell>
          <cell r="P529" t="str">
            <v>SEARCH</v>
          </cell>
          <cell r="Q529" t="str">
            <v>2024</v>
          </cell>
          <cell r="R529" t="str">
            <v>FZX363</v>
          </cell>
          <cell r="S529" t="str">
            <v>Falabella Retail S.A.</v>
          </cell>
          <cell r="T529" t="str">
            <v/>
          </cell>
          <cell r="U529" t="str">
            <v>CERRADA</v>
          </cell>
        </row>
        <row r="530">
          <cell r="C530" t="str">
            <v>T24C850000260</v>
          </cell>
          <cell r="D530" t="str">
            <v>A24C850000382</v>
          </cell>
          <cell r="E530">
            <v>2000000</v>
          </cell>
          <cell r="F530">
            <v>0</v>
          </cell>
          <cell r="G530" t="str">
            <v>Mobile Phone</v>
          </cell>
          <cell r="H530" t="str">
            <v>[1]WEAR AON CAMPAIGN RETAILERS FEBRUARY &amp; MARCH</v>
          </cell>
          <cell r="I530" t="str">
            <v>Closed</v>
          </cell>
          <cell r="J530" t="str">
            <v>fernandez.r</v>
          </cell>
          <cell r="K530">
            <v>45337</v>
          </cell>
          <cell r="L530">
            <v>45443</v>
          </cell>
          <cell r="M530" t="str">
            <v>G1</v>
          </cell>
          <cell r="N530" t="str">
            <v>DIGITAL MEDIA</v>
          </cell>
          <cell r="O530" t="str">
            <v>A240</v>
          </cell>
          <cell r="P530" t="str">
            <v>SEARCH</v>
          </cell>
          <cell r="Q530" t="str">
            <v>2024</v>
          </cell>
          <cell r="R530" t="str">
            <v>FZX363</v>
          </cell>
          <cell r="S530" t="str">
            <v>Falabella Retail S.A.</v>
          </cell>
          <cell r="T530" t="str">
            <v/>
          </cell>
          <cell r="U530" t="str">
            <v>CERRADA</v>
          </cell>
        </row>
        <row r="531">
          <cell r="C531" t="str">
            <v>T24C850000260</v>
          </cell>
          <cell r="D531" t="str">
            <v>A24C850000382</v>
          </cell>
          <cell r="E531">
            <v>0</v>
          </cell>
          <cell r="F531">
            <v>3859770</v>
          </cell>
          <cell r="G531" t="str">
            <v>Mobile Phone</v>
          </cell>
          <cell r="H531" t="str">
            <v>[1]WEAR AON CAMPAIGN RETAILERS FEBRUARY &amp; MARCH</v>
          </cell>
          <cell r="I531" t="str">
            <v>Closed</v>
          </cell>
          <cell r="J531" t="str">
            <v>fernandez.r</v>
          </cell>
          <cell r="K531">
            <v>45337</v>
          </cell>
          <cell r="L531">
            <v>45443</v>
          </cell>
          <cell r="M531" t="str">
            <v>G1</v>
          </cell>
          <cell r="N531" t="str">
            <v>DIGITAL MEDIA</v>
          </cell>
          <cell r="O531" t="str">
            <v>A240</v>
          </cell>
          <cell r="P531" t="str">
            <v>SEARCH</v>
          </cell>
          <cell r="Q531" t="str">
            <v>2024</v>
          </cell>
          <cell r="R531" t="str">
            <v>FZX363</v>
          </cell>
          <cell r="S531" t="str">
            <v>Falabella Retail S.A.</v>
          </cell>
          <cell r="T531" t="str">
            <v/>
          </cell>
          <cell r="U531" t="str">
            <v>CERRADA</v>
          </cell>
        </row>
        <row r="532">
          <cell r="C532" t="str">
            <v>T24C850000260</v>
          </cell>
          <cell r="D532" t="str">
            <v>A24C850000382</v>
          </cell>
          <cell r="E532">
            <v>-140230</v>
          </cell>
          <cell r="F532">
            <v>0</v>
          </cell>
          <cell r="G532" t="str">
            <v>Mobile Phone</v>
          </cell>
          <cell r="H532" t="str">
            <v>[1]WEAR AON CAMPAIGN RETAILERS FEBRUARY &amp; MARCH</v>
          </cell>
          <cell r="I532" t="str">
            <v>Closed</v>
          </cell>
          <cell r="J532" t="str">
            <v>fernandez.r</v>
          </cell>
          <cell r="K532">
            <v>45337</v>
          </cell>
          <cell r="L532">
            <v>45443</v>
          </cell>
          <cell r="M532" t="str">
            <v>G1</v>
          </cell>
          <cell r="N532" t="str">
            <v>DIGITAL MEDIA</v>
          </cell>
          <cell r="O532" t="str">
            <v>A240</v>
          </cell>
          <cell r="P532" t="str">
            <v>SEARCH</v>
          </cell>
          <cell r="Q532" t="str">
            <v>2024</v>
          </cell>
          <cell r="R532" t="str">
            <v>FZX363</v>
          </cell>
          <cell r="S532" t="str">
            <v>Falabella Retail S.A.</v>
          </cell>
          <cell r="T532" t="str">
            <v/>
          </cell>
          <cell r="U532" t="str">
            <v>CERRADA</v>
          </cell>
        </row>
        <row r="533">
          <cell r="C533" t="str">
            <v>T24C850000263</v>
          </cell>
          <cell r="D533" t="str">
            <v>A24C850000381</v>
          </cell>
          <cell r="E533">
            <v>2000000</v>
          </cell>
          <cell r="F533">
            <v>0</v>
          </cell>
          <cell r="G533" t="str">
            <v>Computer</v>
          </cell>
          <cell r="H533" t="str">
            <v>[2]NPC AON CAMPAIGN RETAILERS FEBRUARY &amp; MARCH</v>
          </cell>
          <cell r="I533" t="str">
            <v>Closed</v>
          </cell>
          <cell r="J533" t="str">
            <v>fernandez.r</v>
          </cell>
          <cell r="K533">
            <v>45337</v>
          </cell>
          <cell r="L533">
            <v>45443</v>
          </cell>
          <cell r="M533" t="str">
            <v>C3</v>
          </cell>
          <cell r="N533" t="str">
            <v>DIGITAL MEDIA</v>
          </cell>
          <cell r="O533" t="str">
            <v>A240</v>
          </cell>
          <cell r="P533" t="str">
            <v>SEARCH</v>
          </cell>
          <cell r="Q533" t="str">
            <v>2024</v>
          </cell>
          <cell r="R533" t="str">
            <v>FZX363</v>
          </cell>
          <cell r="S533" t="str">
            <v>Falabella Retail S.A.</v>
          </cell>
          <cell r="T533" t="str">
            <v/>
          </cell>
          <cell r="U533" t="str">
            <v>CERRADA</v>
          </cell>
        </row>
        <row r="534">
          <cell r="C534" t="str">
            <v>T24C850000263</v>
          </cell>
          <cell r="D534" t="str">
            <v>A24C850000381</v>
          </cell>
          <cell r="E534">
            <v>2000000</v>
          </cell>
          <cell r="F534">
            <v>0</v>
          </cell>
          <cell r="G534" t="str">
            <v>Computer</v>
          </cell>
          <cell r="H534" t="str">
            <v>[2]NPC AON CAMPAIGN RETAILERS FEBRUARY &amp; MARCH</v>
          </cell>
          <cell r="I534" t="str">
            <v>Closed</v>
          </cell>
          <cell r="J534" t="str">
            <v>fernandez.r</v>
          </cell>
          <cell r="K534">
            <v>45337</v>
          </cell>
          <cell r="L534">
            <v>45443</v>
          </cell>
          <cell r="M534" t="str">
            <v>C3</v>
          </cell>
          <cell r="N534" t="str">
            <v>DIGITAL MEDIA</v>
          </cell>
          <cell r="O534" t="str">
            <v>A240</v>
          </cell>
          <cell r="P534" t="str">
            <v>SEARCH</v>
          </cell>
          <cell r="Q534" t="str">
            <v>2024</v>
          </cell>
          <cell r="R534" t="str">
            <v>FZX363</v>
          </cell>
          <cell r="S534" t="str">
            <v>Falabella Retail S.A.</v>
          </cell>
          <cell r="T534" t="str">
            <v/>
          </cell>
          <cell r="U534" t="str">
            <v>CERRADA</v>
          </cell>
        </row>
        <row r="535">
          <cell r="C535" t="str">
            <v>T24C850000263</v>
          </cell>
          <cell r="D535" t="str">
            <v>A24C850000381</v>
          </cell>
          <cell r="E535">
            <v>0</v>
          </cell>
          <cell r="F535">
            <v>3959933</v>
          </cell>
          <cell r="G535" t="str">
            <v>Computer</v>
          </cell>
          <cell r="H535" t="str">
            <v>[2]NPC AON CAMPAIGN RETAILERS FEBRUARY &amp; MARCH</v>
          </cell>
          <cell r="I535" t="str">
            <v>Closed</v>
          </cell>
          <cell r="J535" t="str">
            <v>fernandez.r</v>
          </cell>
          <cell r="K535">
            <v>45337</v>
          </cell>
          <cell r="L535">
            <v>45443</v>
          </cell>
          <cell r="M535" t="str">
            <v>C3</v>
          </cell>
          <cell r="N535" t="str">
            <v>DIGITAL MEDIA</v>
          </cell>
          <cell r="O535" t="str">
            <v>A240</v>
          </cell>
          <cell r="P535" t="str">
            <v>SEARCH</v>
          </cell>
          <cell r="Q535" t="str">
            <v>2024</v>
          </cell>
          <cell r="R535" t="str">
            <v>FZX363</v>
          </cell>
          <cell r="S535" t="str">
            <v>Falabella Retail S.A.</v>
          </cell>
          <cell r="T535" t="str">
            <v/>
          </cell>
          <cell r="U535" t="str">
            <v>CERRADA</v>
          </cell>
        </row>
        <row r="536">
          <cell r="C536" t="str">
            <v>T24C850000263</v>
          </cell>
          <cell r="D536" t="str">
            <v>A24C850000381</v>
          </cell>
          <cell r="E536">
            <v>-40067</v>
          </cell>
          <cell r="F536">
            <v>0</v>
          </cell>
          <cell r="G536" t="str">
            <v>Computer</v>
          </cell>
          <cell r="H536" t="str">
            <v>[2]NPC AON CAMPAIGN RETAILERS FEBRUARY &amp; MARCH</v>
          </cell>
          <cell r="I536" t="str">
            <v>Closed</v>
          </cell>
          <cell r="J536" t="str">
            <v>fernandez.r</v>
          </cell>
          <cell r="K536">
            <v>45337</v>
          </cell>
          <cell r="L536">
            <v>45443</v>
          </cell>
          <cell r="M536" t="str">
            <v>C3</v>
          </cell>
          <cell r="N536" t="str">
            <v>DIGITAL MEDIA</v>
          </cell>
          <cell r="O536" t="str">
            <v>A240</v>
          </cell>
          <cell r="P536" t="str">
            <v>SEARCH</v>
          </cell>
          <cell r="Q536" t="str">
            <v>2024</v>
          </cell>
          <cell r="R536" t="str">
            <v>FZX363</v>
          </cell>
          <cell r="S536" t="str">
            <v>Falabella Retail S.A.</v>
          </cell>
          <cell r="T536" t="str">
            <v/>
          </cell>
          <cell r="U536" t="str">
            <v>CERRADA</v>
          </cell>
        </row>
        <row r="537">
          <cell r="C537" t="str">
            <v>T24C850000271</v>
          </cell>
          <cell r="D537" t="str">
            <v>A24C850000380</v>
          </cell>
          <cell r="E537">
            <v>2500000</v>
          </cell>
          <cell r="F537">
            <v>0</v>
          </cell>
          <cell r="G537" t="str">
            <v>Mobile Phone</v>
          </cell>
          <cell r="H537" t="str">
            <v>[2]TAB AON CAMPAIGN RETAILERS FEBRUARY &amp; MARCH</v>
          </cell>
          <cell r="I537" t="str">
            <v>Closed</v>
          </cell>
          <cell r="J537" t="str">
            <v>fernandez.r</v>
          </cell>
          <cell r="K537">
            <v>45337</v>
          </cell>
          <cell r="L537">
            <v>45443</v>
          </cell>
          <cell r="M537" t="str">
            <v>G1</v>
          </cell>
          <cell r="N537" t="str">
            <v>DIGITAL MEDIA</v>
          </cell>
          <cell r="O537" t="str">
            <v>A240</v>
          </cell>
          <cell r="P537" t="str">
            <v>SEARCH</v>
          </cell>
          <cell r="Q537" t="str">
            <v>2024</v>
          </cell>
          <cell r="R537" t="str">
            <v>FZX363</v>
          </cell>
          <cell r="S537" t="str">
            <v>Falabella Retail S.A.</v>
          </cell>
          <cell r="T537" t="str">
            <v/>
          </cell>
          <cell r="U537" t="str">
            <v>CERRADA</v>
          </cell>
        </row>
        <row r="538">
          <cell r="C538" t="str">
            <v>T24C850000271</v>
          </cell>
          <cell r="D538" t="str">
            <v>A24C850000380</v>
          </cell>
          <cell r="E538">
            <v>2500000</v>
          </cell>
          <cell r="F538">
            <v>0</v>
          </cell>
          <cell r="G538" t="str">
            <v>Mobile Phone</v>
          </cell>
          <cell r="H538" t="str">
            <v>[2]TAB AON CAMPAIGN RETAILERS FEBRUARY &amp; MARCH</v>
          </cell>
          <cell r="I538" t="str">
            <v>Closed</v>
          </cell>
          <cell r="J538" t="str">
            <v>fernandez.r</v>
          </cell>
          <cell r="K538">
            <v>45337</v>
          </cell>
          <cell r="L538">
            <v>45443</v>
          </cell>
          <cell r="M538" t="str">
            <v>G1</v>
          </cell>
          <cell r="N538" t="str">
            <v>DIGITAL MEDIA</v>
          </cell>
          <cell r="O538" t="str">
            <v>A240</v>
          </cell>
          <cell r="P538" t="str">
            <v>SEARCH</v>
          </cell>
          <cell r="Q538" t="str">
            <v>2024</v>
          </cell>
          <cell r="R538" t="str">
            <v>FZX363</v>
          </cell>
          <cell r="S538" t="str">
            <v>Falabella Retail S.A.</v>
          </cell>
          <cell r="T538" t="str">
            <v/>
          </cell>
          <cell r="U538" t="str">
            <v>CERRADA</v>
          </cell>
        </row>
        <row r="539">
          <cell r="C539" t="str">
            <v>T24C850000271</v>
          </cell>
          <cell r="D539" t="str">
            <v>A24C850000380</v>
          </cell>
          <cell r="E539">
            <v>0</v>
          </cell>
          <cell r="F539">
            <v>5000000</v>
          </cell>
          <cell r="G539" t="str">
            <v>Mobile Phone</v>
          </cell>
          <cell r="H539" t="str">
            <v>[2]TAB AON CAMPAIGN RETAILERS FEBRUARY &amp; MARCH</v>
          </cell>
          <cell r="I539" t="str">
            <v>Closed</v>
          </cell>
          <cell r="J539" t="str">
            <v>fernandez.r</v>
          </cell>
          <cell r="K539">
            <v>45337</v>
          </cell>
          <cell r="L539">
            <v>45443</v>
          </cell>
          <cell r="M539" t="str">
            <v>G1</v>
          </cell>
          <cell r="N539" t="str">
            <v>DIGITAL MEDIA</v>
          </cell>
          <cell r="O539" t="str">
            <v>A240</v>
          </cell>
          <cell r="P539" t="str">
            <v>SEARCH</v>
          </cell>
          <cell r="Q539" t="str">
            <v>2024</v>
          </cell>
          <cell r="R539" t="str">
            <v>FZX363</v>
          </cell>
          <cell r="S539" t="str">
            <v>Falabella Retail S.A.</v>
          </cell>
          <cell r="T539" t="str">
            <v/>
          </cell>
          <cell r="U539" t="str">
            <v>CERRADA</v>
          </cell>
        </row>
        <row r="540">
          <cell r="C540" t="str">
            <v>T24C850000279</v>
          </cell>
          <cell r="D540" t="str">
            <v>A24C850000391</v>
          </cell>
          <cell r="E540">
            <v>7608000</v>
          </cell>
          <cell r="F540">
            <v>0</v>
          </cell>
          <cell r="G540" t="str">
            <v>Mobile Phone</v>
          </cell>
          <cell r="H540" t="str">
            <v>[1]HHP EUREKA CAMPAIGN RETAILERS FEBRUARY - INCREASE VERSION</v>
          </cell>
          <cell r="I540" t="str">
            <v>Completed</v>
          </cell>
          <cell r="J540" t="str">
            <v>fernandez.r</v>
          </cell>
          <cell r="K540">
            <v>45338</v>
          </cell>
          <cell r="L540">
            <v>45443</v>
          </cell>
          <cell r="M540" t="str">
            <v>G1</v>
          </cell>
          <cell r="N540" t="str">
            <v>DIGITAL MEDIA</v>
          </cell>
          <cell r="O540" t="str">
            <v>A250</v>
          </cell>
          <cell r="P540" t="str">
            <v>DISPLAY</v>
          </cell>
          <cell r="Q540" t="str">
            <v>2024</v>
          </cell>
          <cell r="R540" t="str">
            <v>FZX363</v>
          </cell>
          <cell r="S540" t="str">
            <v>Falabella Retail S.A.</v>
          </cell>
          <cell r="T540" t="str">
            <v/>
          </cell>
          <cell r="U540" t="str">
            <v>CERRADA</v>
          </cell>
        </row>
        <row r="541">
          <cell r="C541" t="str">
            <v>T24C850000279</v>
          </cell>
          <cell r="D541" t="str">
            <v>A24C850000391</v>
          </cell>
          <cell r="E541">
            <v>0</v>
          </cell>
          <cell r="F541">
            <v>7608000</v>
          </cell>
          <cell r="G541" t="str">
            <v>Mobile Phone</v>
          </cell>
          <cell r="H541" t="str">
            <v>[1]HHP EUREKA CAMPAIGN RETAILERS FEBRUARY - INCREASE VERSION</v>
          </cell>
          <cell r="I541" t="str">
            <v>Completed</v>
          </cell>
          <cell r="J541" t="str">
            <v>fernandez.r</v>
          </cell>
          <cell r="K541">
            <v>45338</v>
          </cell>
          <cell r="L541">
            <v>45443</v>
          </cell>
          <cell r="M541" t="str">
            <v>G1</v>
          </cell>
          <cell r="N541" t="str">
            <v>DIGITAL MEDIA</v>
          </cell>
          <cell r="O541" t="str">
            <v>A250</v>
          </cell>
          <cell r="P541" t="str">
            <v>DISPLAY</v>
          </cell>
          <cell r="Q541" t="str">
            <v>2024</v>
          </cell>
          <cell r="R541" t="str">
            <v>FZX363</v>
          </cell>
          <cell r="S541" t="str">
            <v>Falabella Retail S.A.</v>
          </cell>
          <cell r="T541" t="str">
            <v/>
          </cell>
          <cell r="U541" t="str">
            <v>CERRADA</v>
          </cell>
        </row>
        <row r="542">
          <cell r="C542" t="str">
            <v>T24C850000279</v>
          </cell>
          <cell r="D542" t="str">
            <v>A24C850000391</v>
          </cell>
          <cell r="E542">
            <v>23000000</v>
          </cell>
          <cell r="F542">
            <v>0</v>
          </cell>
          <cell r="G542" t="str">
            <v>Mobile Phone</v>
          </cell>
          <cell r="H542" t="str">
            <v>[1]HHP EUREKA CAMPAIGN RETAILERS FEBRUARY - INCREASE VERSION</v>
          </cell>
          <cell r="I542" t="str">
            <v>Completed</v>
          </cell>
          <cell r="J542" t="str">
            <v>fernandez.r</v>
          </cell>
          <cell r="K542">
            <v>45338</v>
          </cell>
          <cell r="L542">
            <v>45443</v>
          </cell>
          <cell r="M542" t="str">
            <v>G1</v>
          </cell>
          <cell r="N542" t="str">
            <v>DIGITAL MEDIA</v>
          </cell>
          <cell r="O542" t="str">
            <v>A230</v>
          </cell>
          <cell r="P542" t="str">
            <v>SOCIAL ADS</v>
          </cell>
          <cell r="Q542" t="str">
            <v>2024</v>
          </cell>
          <cell r="R542" t="str">
            <v>FZX363</v>
          </cell>
          <cell r="S542" t="str">
            <v>Falabella Retail S.A.</v>
          </cell>
          <cell r="T542" t="str">
            <v/>
          </cell>
          <cell r="U542" t="str">
            <v>CERRADA</v>
          </cell>
        </row>
        <row r="543">
          <cell r="C543" t="str">
            <v>T24C850000279</v>
          </cell>
          <cell r="D543" t="str">
            <v>A24C850000391</v>
          </cell>
          <cell r="E543">
            <v>0</v>
          </cell>
          <cell r="F543">
            <v>4000000</v>
          </cell>
          <cell r="G543" t="str">
            <v>Mobile Phone</v>
          </cell>
          <cell r="H543" t="str">
            <v>[1]HHP EUREKA CAMPAIGN RETAILERS FEBRUARY - INCREASE VERSION</v>
          </cell>
          <cell r="I543" t="str">
            <v>Completed</v>
          </cell>
          <cell r="J543" t="str">
            <v>fernandez.r</v>
          </cell>
          <cell r="K543">
            <v>45338</v>
          </cell>
          <cell r="L543">
            <v>45443</v>
          </cell>
          <cell r="M543" t="str">
            <v>G1</v>
          </cell>
          <cell r="N543" t="str">
            <v>DIGITAL MEDIA</v>
          </cell>
          <cell r="O543" t="str">
            <v>A230</v>
          </cell>
          <cell r="P543" t="str">
            <v>SOCIAL ADS</v>
          </cell>
          <cell r="Q543" t="str">
            <v>2024</v>
          </cell>
          <cell r="R543" t="str">
            <v>FZX363</v>
          </cell>
          <cell r="S543" t="str">
            <v>Falabella Retail S.A.</v>
          </cell>
          <cell r="T543" t="str">
            <v/>
          </cell>
          <cell r="U543" t="str">
            <v>CERRADA</v>
          </cell>
        </row>
        <row r="544">
          <cell r="C544" t="str">
            <v>T24C850000279</v>
          </cell>
          <cell r="D544" t="str">
            <v>A24C850000391</v>
          </cell>
          <cell r="E544">
            <v>28000000</v>
          </cell>
          <cell r="F544">
            <v>0</v>
          </cell>
          <cell r="G544" t="str">
            <v>Mobile Phone</v>
          </cell>
          <cell r="H544" t="str">
            <v>[1]HHP EUREKA CAMPAIGN RETAILERS FEBRUARY - INCREASE VERSION</v>
          </cell>
          <cell r="I544" t="str">
            <v>Completed</v>
          </cell>
          <cell r="J544" t="str">
            <v>fernandez.r</v>
          </cell>
          <cell r="K544">
            <v>45338</v>
          </cell>
          <cell r="L544">
            <v>45443</v>
          </cell>
          <cell r="M544" t="str">
            <v>G1</v>
          </cell>
          <cell r="N544" t="str">
            <v>DIGITAL MEDIA</v>
          </cell>
          <cell r="O544" t="str">
            <v>A240</v>
          </cell>
          <cell r="P544" t="str">
            <v>SEARCH</v>
          </cell>
          <cell r="Q544" t="str">
            <v>2024</v>
          </cell>
          <cell r="R544" t="str">
            <v>FZX363</v>
          </cell>
          <cell r="S544" t="str">
            <v>Falabella Retail S.A.</v>
          </cell>
          <cell r="T544" t="str">
            <v/>
          </cell>
          <cell r="U544" t="str">
            <v>CERRADA</v>
          </cell>
        </row>
        <row r="545">
          <cell r="C545" t="str">
            <v>T24C850000279</v>
          </cell>
          <cell r="D545" t="str">
            <v>A24C850000391</v>
          </cell>
          <cell r="E545">
            <v>0</v>
          </cell>
          <cell r="F545">
            <v>1928648</v>
          </cell>
          <cell r="G545" t="str">
            <v>Mobile Phone</v>
          </cell>
          <cell r="H545" t="str">
            <v>[1]HHP EUREKA CAMPAIGN RETAILERS FEBRUARY - INCREASE VERSION</v>
          </cell>
          <cell r="I545" t="str">
            <v>Completed</v>
          </cell>
          <cell r="J545" t="str">
            <v>fernandez.r</v>
          </cell>
          <cell r="K545">
            <v>45338</v>
          </cell>
          <cell r="L545">
            <v>45443</v>
          </cell>
          <cell r="M545" t="str">
            <v>G1</v>
          </cell>
          <cell r="N545" t="str">
            <v>DIGITAL MEDIA</v>
          </cell>
          <cell r="O545" t="str">
            <v>A240</v>
          </cell>
          <cell r="P545" t="str">
            <v>SEARCH</v>
          </cell>
          <cell r="Q545" t="str">
            <v>2024</v>
          </cell>
          <cell r="R545" t="str">
            <v>FZX363</v>
          </cell>
          <cell r="S545" t="str">
            <v>Falabella Retail S.A.</v>
          </cell>
          <cell r="T545" t="str">
            <v/>
          </cell>
          <cell r="U545" t="str">
            <v>CERRADA</v>
          </cell>
        </row>
        <row r="546">
          <cell r="C546" t="str">
            <v>T24C850000279</v>
          </cell>
          <cell r="D546" t="str">
            <v>A24C850000391</v>
          </cell>
          <cell r="E546">
            <v>0</v>
          </cell>
          <cell r="F546">
            <v>6892000</v>
          </cell>
          <cell r="G546" t="str">
            <v>Mobile Phone</v>
          </cell>
          <cell r="H546" t="str">
            <v>[1]HHP EUREKA CAMPAIGN RETAILERS FEBRUARY - INCREASE VERSION</v>
          </cell>
          <cell r="I546" t="str">
            <v>Completed</v>
          </cell>
          <cell r="J546" t="str">
            <v>fernandez.r</v>
          </cell>
          <cell r="K546">
            <v>45338</v>
          </cell>
          <cell r="L546">
            <v>45443</v>
          </cell>
          <cell r="M546" t="str">
            <v>G1</v>
          </cell>
          <cell r="N546" t="str">
            <v>DIGITAL MEDIA</v>
          </cell>
          <cell r="O546" t="str">
            <v>A240</v>
          </cell>
          <cell r="P546" t="str">
            <v>SEARCH</v>
          </cell>
          <cell r="Q546" t="str">
            <v>2024</v>
          </cell>
          <cell r="R546" t="str">
            <v>FZX363</v>
          </cell>
          <cell r="S546" t="str">
            <v>Falabella Retail S.A.</v>
          </cell>
          <cell r="T546" t="str">
            <v/>
          </cell>
          <cell r="U546" t="str">
            <v>CERRADA</v>
          </cell>
        </row>
        <row r="547">
          <cell r="C547" t="str">
            <v>T24C850000279</v>
          </cell>
          <cell r="D547" t="str">
            <v>A24C850000391</v>
          </cell>
          <cell r="E547">
            <v>2000000</v>
          </cell>
          <cell r="F547">
            <v>0</v>
          </cell>
          <cell r="G547" t="str">
            <v>Mobile Phone</v>
          </cell>
          <cell r="H547" t="str">
            <v>[1]HHP EUREKA CAMPAIGN RETAILERS FEBRUARY - INCREASE VERSION</v>
          </cell>
          <cell r="I547" t="str">
            <v>Completed</v>
          </cell>
          <cell r="J547" t="str">
            <v>fernandez.r</v>
          </cell>
          <cell r="K547">
            <v>45338</v>
          </cell>
          <cell r="L547">
            <v>45443</v>
          </cell>
          <cell r="M547" t="str">
            <v>G1</v>
          </cell>
          <cell r="N547" t="str">
            <v>TRADITIONAL MEDIA</v>
          </cell>
          <cell r="O547" t="str">
            <v>A130</v>
          </cell>
          <cell r="P547" t="str">
            <v>ADS NEWSPAPER</v>
          </cell>
          <cell r="Q547" t="str">
            <v>2024</v>
          </cell>
          <cell r="R547" t="str">
            <v>FZX363</v>
          </cell>
          <cell r="S547" t="str">
            <v>Falabella Retail S.A.</v>
          </cell>
          <cell r="T547" t="str">
            <v/>
          </cell>
          <cell r="U547" t="str">
            <v>CERRADA</v>
          </cell>
        </row>
        <row r="548">
          <cell r="C548" t="str">
            <v>T24C850000279</v>
          </cell>
          <cell r="D548" t="str">
            <v>A24C850000391</v>
          </cell>
          <cell r="E548">
            <v>8000000</v>
          </cell>
          <cell r="F548">
            <v>0</v>
          </cell>
          <cell r="G548" t="str">
            <v>Mobile Phone</v>
          </cell>
          <cell r="H548" t="str">
            <v>[1]HHP EUREKA CAMPAIGN RETAILERS FEBRUARY - INCREASE VERSION</v>
          </cell>
          <cell r="I548" t="str">
            <v>Completed</v>
          </cell>
          <cell r="J548" t="str">
            <v>fernandez.r</v>
          </cell>
          <cell r="K548">
            <v>45338</v>
          </cell>
          <cell r="L548">
            <v>45443</v>
          </cell>
          <cell r="M548" t="str">
            <v>G1</v>
          </cell>
          <cell r="N548" t="str">
            <v>TRADITIONAL MEDIA</v>
          </cell>
          <cell r="O548" t="str">
            <v>A110</v>
          </cell>
          <cell r="P548" t="str">
            <v>ADS TV</v>
          </cell>
          <cell r="Q548" t="str">
            <v>2024</v>
          </cell>
          <cell r="R548" t="str">
            <v>FZX363</v>
          </cell>
          <cell r="S548" t="str">
            <v>Falabella Retail S.A.</v>
          </cell>
          <cell r="T548" t="str">
            <v/>
          </cell>
          <cell r="U548" t="str">
            <v>CERRADA</v>
          </cell>
        </row>
        <row r="549">
          <cell r="C549" t="str">
            <v>T24C850000346</v>
          </cell>
          <cell r="D549" t="str">
            <v>A24C850000514</v>
          </cell>
          <cell r="E549">
            <v>4513775</v>
          </cell>
          <cell r="F549">
            <v>0</v>
          </cell>
          <cell r="G549" t="str">
            <v>Mobile Phone</v>
          </cell>
          <cell r="H549" t="str">
            <v>[1]HHP AON CAMPAIGN RETAILERS MARCH - FALABELLA</v>
          </cell>
          <cell r="I549" t="str">
            <v>Completed</v>
          </cell>
          <cell r="J549" t="str">
            <v>fernandez.r</v>
          </cell>
          <cell r="K549">
            <v>45363</v>
          </cell>
          <cell r="L549">
            <v>45443</v>
          </cell>
          <cell r="M549" t="str">
            <v>G1</v>
          </cell>
          <cell r="N549" t="str">
            <v>DIGITAL MEDIA</v>
          </cell>
          <cell r="O549" t="str">
            <v>A250</v>
          </cell>
          <cell r="P549" t="str">
            <v>DISPLAY</v>
          </cell>
          <cell r="Q549" t="str">
            <v>2024</v>
          </cell>
          <cell r="R549" t="str">
            <v>FZX363</v>
          </cell>
          <cell r="S549" t="str">
            <v>Falabella Retail S.A.</v>
          </cell>
          <cell r="T549" t="str">
            <v/>
          </cell>
          <cell r="U549" t="str">
            <v>Remanente pedir factura</v>
          </cell>
        </row>
        <row r="550">
          <cell r="C550" t="str">
            <v>T24C850000346</v>
          </cell>
          <cell r="D550" t="str">
            <v>A24C850000514</v>
          </cell>
          <cell r="E550">
            <v>0</v>
          </cell>
          <cell r="F550">
            <v>2423286</v>
          </cell>
          <cell r="G550" t="str">
            <v>Mobile Phone</v>
          </cell>
          <cell r="H550" t="str">
            <v>[1]HHP AON CAMPAIGN RETAILERS MARCH - FALABELLA</v>
          </cell>
          <cell r="I550" t="str">
            <v>Completed</v>
          </cell>
          <cell r="J550" t="str">
            <v>fernandez.r</v>
          </cell>
          <cell r="K550">
            <v>45363</v>
          </cell>
          <cell r="L550">
            <v>45443</v>
          </cell>
          <cell r="M550" t="str">
            <v>G1</v>
          </cell>
          <cell r="N550" t="str">
            <v>DIGITAL MEDIA</v>
          </cell>
          <cell r="O550" t="str">
            <v>A250</v>
          </cell>
          <cell r="P550" t="str">
            <v>DISPLAY</v>
          </cell>
          <cell r="Q550" t="str">
            <v>2024</v>
          </cell>
          <cell r="R550" t="str">
            <v>FZX363</v>
          </cell>
          <cell r="S550" t="str">
            <v>Falabella Retail S.A.</v>
          </cell>
          <cell r="T550" t="str">
            <v/>
          </cell>
          <cell r="U550" t="str">
            <v>Remanente pedir factura</v>
          </cell>
        </row>
        <row r="551">
          <cell r="C551" t="str">
            <v>T24C850000346</v>
          </cell>
          <cell r="D551" t="str">
            <v>A24C850000514</v>
          </cell>
          <cell r="E551">
            <v>10000000</v>
          </cell>
          <cell r="F551">
            <v>0</v>
          </cell>
          <cell r="G551" t="str">
            <v>Mobile Phone</v>
          </cell>
          <cell r="H551" t="str">
            <v>[1]HHP AON CAMPAIGN RETAILERS MARCH - FALABELLA</v>
          </cell>
          <cell r="I551" t="str">
            <v>Completed</v>
          </cell>
          <cell r="J551" t="str">
            <v>fernandez.r</v>
          </cell>
          <cell r="K551">
            <v>45363</v>
          </cell>
          <cell r="L551">
            <v>45443</v>
          </cell>
          <cell r="M551" t="str">
            <v>G1</v>
          </cell>
          <cell r="N551" t="str">
            <v>DIGITAL MEDIA</v>
          </cell>
          <cell r="O551" t="str">
            <v>A240</v>
          </cell>
          <cell r="P551" t="str">
            <v>SEARCH</v>
          </cell>
          <cell r="Q551" t="str">
            <v>2024</v>
          </cell>
          <cell r="R551" t="str">
            <v>FZX363</v>
          </cell>
          <cell r="S551" t="str">
            <v>Falabella Retail S.A.</v>
          </cell>
          <cell r="T551" t="str">
            <v/>
          </cell>
          <cell r="U551" t="str">
            <v>Remanente pedir factura</v>
          </cell>
        </row>
        <row r="552">
          <cell r="C552" t="str">
            <v>T24C850000346</v>
          </cell>
          <cell r="D552" t="str">
            <v>A24C850000514</v>
          </cell>
          <cell r="E552">
            <v>0</v>
          </cell>
          <cell r="F552">
            <v>10000000</v>
          </cell>
          <cell r="G552" t="str">
            <v>Mobile Phone</v>
          </cell>
          <cell r="H552" t="str">
            <v>[1]HHP AON CAMPAIGN RETAILERS MARCH - FALABELLA</v>
          </cell>
          <cell r="I552" t="str">
            <v>Completed</v>
          </cell>
          <cell r="J552" t="str">
            <v>fernandez.r</v>
          </cell>
          <cell r="K552">
            <v>45363</v>
          </cell>
          <cell r="L552">
            <v>45443</v>
          </cell>
          <cell r="M552" t="str">
            <v>G1</v>
          </cell>
          <cell r="N552" t="str">
            <v>DIGITAL MEDIA</v>
          </cell>
          <cell r="O552" t="str">
            <v>A240</v>
          </cell>
          <cell r="P552" t="str">
            <v>SEARCH</v>
          </cell>
          <cell r="Q552" t="str">
            <v>2024</v>
          </cell>
          <cell r="R552" t="str">
            <v>FZX363</v>
          </cell>
          <cell r="S552" t="str">
            <v>Falabella Retail S.A.</v>
          </cell>
          <cell r="T552" t="str">
            <v/>
          </cell>
          <cell r="U552" t="str">
            <v>Remanente pedir factura</v>
          </cell>
        </row>
        <row r="553">
          <cell r="C553" t="str">
            <v>T24C850000357</v>
          </cell>
          <cell r="D553" t="str">
            <v>A24C850000534</v>
          </cell>
          <cell r="E553">
            <v>4513775</v>
          </cell>
          <cell r="F553">
            <v>0</v>
          </cell>
          <cell r="G553" t="str">
            <v>Mobile Phone</v>
          </cell>
          <cell r="H553" t="str">
            <v>[1]HHP AON CAMPAIGN RETAILERS MAY - FALABELLA</v>
          </cell>
          <cell r="I553" t="str">
            <v>Completed</v>
          </cell>
          <cell r="J553" t="str">
            <v>fernandez.r</v>
          </cell>
          <cell r="K553">
            <v>45413</v>
          </cell>
          <cell r="L553">
            <v>45504</v>
          </cell>
          <cell r="M553" t="str">
            <v>G1</v>
          </cell>
          <cell r="N553" t="str">
            <v>DIGITAL MEDIA</v>
          </cell>
          <cell r="O553" t="str">
            <v>A250</v>
          </cell>
          <cell r="P553" t="str">
            <v>DISPLAY</v>
          </cell>
          <cell r="Q553" t="str">
            <v>2024</v>
          </cell>
          <cell r="R553" t="str">
            <v>FZX363</v>
          </cell>
          <cell r="S553" t="str">
            <v>Falabella Retail S.A.</v>
          </cell>
          <cell r="T553" t="str">
            <v/>
          </cell>
          <cell r="U553" t="str">
            <v>Remanente pedir factura</v>
          </cell>
        </row>
        <row r="554">
          <cell r="C554" t="str">
            <v>T24C850000357</v>
          </cell>
          <cell r="D554" t="str">
            <v>A24C850000534</v>
          </cell>
          <cell r="E554">
            <v>10000000</v>
          </cell>
          <cell r="F554">
            <v>0</v>
          </cell>
          <cell r="G554" t="str">
            <v>Mobile Phone</v>
          </cell>
          <cell r="H554" t="str">
            <v>[1]HHP AON CAMPAIGN RETAILERS MAY - FALABELLA</v>
          </cell>
          <cell r="I554" t="str">
            <v>Completed</v>
          </cell>
          <cell r="J554" t="str">
            <v>fernandez.r</v>
          </cell>
          <cell r="K554">
            <v>45413</v>
          </cell>
          <cell r="L554">
            <v>45504</v>
          </cell>
          <cell r="M554" t="str">
            <v>G1</v>
          </cell>
          <cell r="N554" t="str">
            <v>DIGITAL MEDIA</v>
          </cell>
          <cell r="O554" t="str">
            <v>A240</v>
          </cell>
          <cell r="P554" t="str">
            <v>SEARCH</v>
          </cell>
          <cell r="Q554" t="str">
            <v>2024</v>
          </cell>
          <cell r="R554" t="str">
            <v>FZX363</v>
          </cell>
          <cell r="S554" t="str">
            <v>Falabella Retail S.A.</v>
          </cell>
          <cell r="T554" t="str">
            <v/>
          </cell>
          <cell r="U554" t="str">
            <v>Remanente pedir factura</v>
          </cell>
        </row>
        <row r="555">
          <cell r="C555" t="str">
            <v>T24C850000362</v>
          </cell>
          <cell r="D555" t="str">
            <v>A24C850000529</v>
          </cell>
          <cell r="E555">
            <v>4513775</v>
          </cell>
          <cell r="F555">
            <v>0</v>
          </cell>
          <cell r="G555" t="str">
            <v>Mobile Phone</v>
          </cell>
          <cell r="H555" t="str">
            <v>[1]HHP AON CAMPAIGN RETAILERS APRIL - FALABELLA</v>
          </cell>
          <cell r="I555" t="str">
            <v>Closed</v>
          </cell>
          <cell r="J555" t="str">
            <v>fernandez.r</v>
          </cell>
          <cell r="K555">
            <v>45383</v>
          </cell>
          <cell r="L555">
            <v>45473</v>
          </cell>
          <cell r="M555" t="str">
            <v>G1</v>
          </cell>
          <cell r="N555" t="str">
            <v>DIGITAL MEDIA</v>
          </cell>
          <cell r="O555" t="str">
            <v>A250</v>
          </cell>
          <cell r="P555" t="str">
            <v>DISPLAY</v>
          </cell>
          <cell r="Q555" t="str">
            <v>2024</v>
          </cell>
          <cell r="R555" t="str">
            <v>FZX363</v>
          </cell>
          <cell r="S555" t="str">
            <v>Falabella Retail S.A.</v>
          </cell>
          <cell r="T555" t="str">
            <v/>
          </cell>
          <cell r="U555" t="str">
            <v>CERRADA</v>
          </cell>
        </row>
        <row r="556">
          <cell r="C556" t="str">
            <v>T24C850000362</v>
          </cell>
          <cell r="D556" t="str">
            <v>A24C850000529</v>
          </cell>
          <cell r="E556">
            <v>0</v>
          </cell>
          <cell r="F556">
            <v>3000000</v>
          </cell>
          <cell r="G556" t="str">
            <v>Mobile Phone</v>
          </cell>
          <cell r="H556" t="str">
            <v>[1]HHP AON CAMPAIGN RETAILERS APRIL - FALABELLA</v>
          </cell>
          <cell r="I556" t="str">
            <v>Closed</v>
          </cell>
          <cell r="J556" t="str">
            <v>fernandez.r</v>
          </cell>
          <cell r="K556">
            <v>45383</v>
          </cell>
          <cell r="L556">
            <v>45473</v>
          </cell>
          <cell r="M556" t="str">
            <v>G1</v>
          </cell>
          <cell r="N556" t="str">
            <v>DIGITAL MEDIA</v>
          </cell>
          <cell r="O556" t="str">
            <v>A250</v>
          </cell>
          <cell r="P556" t="str">
            <v>DISPLAY</v>
          </cell>
          <cell r="Q556" t="str">
            <v>2024</v>
          </cell>
          <cell r="R556" t="str">
            <v>FZX363</v>
          </cell>
          <cell r="S556" t="str">
            <v>Falabella Retail S.A.</v>
          </cell>
          <cell r="T556" t="str">
            <v/>
          </cell>
          <cell r="U556" t="str">
            <v>CERRADA</v>
          </cell>
        </row>
        <row r="557">
          <cell r="C557" t="str">
            <v>T24C850000362</v>
          </cell>
          <cell r="D557" t="str">
            <v>A24C850000529</v>
          </cell>
          <cell r="E557">
            <v>0</v>
          </cell>
          <cell r="F557">
            <v>1513775</v>
          </cell>
          <cell r="G557" t="str">
            <v>Mobile Phone</v>
          </cell>
          <cell r="H557" t="str">
            <v>[1]HHP AON CAMPAIGN RETAILERS APRIL - FALABELLA</v>
          </cell>
          <cell r="I557" t="str">
            <v>Closed</v>
          </cell>
          <cell r="J557" t="str">
            <v>fernandez.r</v>
          </cell>
          <cell r="K557">
            <v>45383</v>
          </cell>
          <cell r="L557">
            <v>45473</v>
          </cell>
          <cell r="M557" t="str">
            <v>G1</v>
          </cell>
          <cell r="N557" t="str">
            <v>DIGITAL MEDIA</v>
          </cell>
          <cell r="O557" t="str">
            <v>A250</v>
          </cell>
          <cell r="P557" t="str">
            <v>DISPLAY</v>
          </cell>
          <cell r="Q557" t="str">
            <v>2024</v>
          </cell>
          <cell r="R557" t="str">
            <v>FZX363</v>
          </cell>
          <cell r="S557" t="str">
            <v>Falabella Retail S.A.</v>
          </cell>
          <cell r="T557" t="str">
            <v/>
          </cell>
          <cell r="U557" t="str">
            <v>CERRADA</v>
          </cell>
        </row>
        <row r="558">
          <cell r="C558" t="str">
            <v>T24C850000362</v>
          </cell>
          <cell r="D558" t="str">
            <v>A24C850000529</v>
          </cell>
          <cell r="E558">
            <v>10000000</v>
          </cell>
          <cell r="F558">
            <v>0</v>
          </cell>
          <cell r="G558" t="str">
            <v>Mobile Phone</v>
          </cell>
          <cell r="H558" t="str">
            <v>[1]HHP AON CAMPAIGN RETAILERS APRIL - FALABELLA</v>
          </cell>
          <cell r="I558" t="str">
            <v>Closed</v>
          </cell>
          <cell r="J558" t="str">
            <v>fernandez.r</v>
          </cell>
          <cell r="K558">
            <v>45383</v>
          </cell>
          <cell r="L558">
            <v>45473</v>
          </cell>
          <cell r="M558" t="str">
            <v>G1</v>
          </cell>
          <cell r="N558" t="str">
            <v>DIGITAL MEDIA</v>
          </cell>
          <cell r="O558" t="str">
            <v>A240</v>
          </cell>
          <cell r="P558" t="str">
            <v>SEARCH</v>
          </cell>
          <cell r="Q558" t="str">
            <v>2024</v>
          </cell>
          <cell r="R558" t="str">
            <v>FZX363</v>
          </cell>
          <cell r="S558" t="str">
            <v>Falabella Retail S.A.</v>
          </cell>
          <cell r="T558" t="str">
            <v/>
          </cell>
          <cell r="U558" t="str">
            <v>CERRADA</v>
          </cell>
        </row>
        <row r="559">
          <cell r="C559" t="str">
            <v>T24C850000362</v>
          </cell>
          <cell r="D559" t="str">
            <v>A24C850000529</v>
          </cell>
          <cell r="E559">
            <v>0</v>
          </cell>
          <cell r="F559">
            <v>3483680</v>
          </cell>
          <cell r="G559" t="str">
            <v>Mobile Phone</v>
          </cell>
          <cell r="H559" t="str">
            <v>[1]HHP AON CAMPAIGN RETAILERS APRIL - FALABELLA</v>
          </cell>
          <cell r="I559" t="str">
            <v>Closed</v>
          </cell>
          <cell r="J559" t="str">
            <v>fernandez.r</v>
          </cell>
          <cell r="K559">
            <v>45383</v>
          </cell>
          <cell r="L559">
            <v>45473</v>
          </cell>
          <cell r="M559" t="str">
            <v>G1</v>
          </cell>
          <cell r="N559" t="str">
            <v>DIGITAL MEDIA</v>
          </cell>
          <cell r="O559" t="str">
            <v>A240</v>
          </cell>
          <cell r="P559" t="str">
            <v>SEARCH</v>
          </cell>
          <cell r="Q559" t="str">
            <v>2024</v>
          </cell>
          <cell r="R559" t="str">
            <v>FZX363</v>
          </cell>
          <cell r="S559" t="str">
            <v>Falabella Retail S.A.</v>
          </cell>
          <cell r="T559" t="str">
            <v/>
          </cell>
          <cell r="U559" t="str">
            <v>CERRADA</v>
          </cell>
        </row>
        <row r="560">
          <cell r="C560" t="str">
            <v>T24C850000362</v>
          </cell>
          <cell r="D560" t="str">
            <v>A24C850000529</v>
          </cell>
          <cell r="E560">
            <v>0</v>
          </cell>
          <cell r="F560">
            <v>6516320</v>
          </cell>
          <cell r="G560" t="str">
            <v>Mobile Phone</v>
          </cell>
          <cell r="H560" t="str">
            <v>[1]HHP AON CAMPAIGN RETAILERS APRIL - FALABELLA</v>
          </cell>
          <cell r="I560" t="str">
            <v>Closed</v>
          </cell>
          <cell r="J560" t="str">
            <v>fernandez.r</v>
          </cell>
          <cell r="K560">
            <v>45383</v>
          </cell>
          <cell r="L560">
            <v>45473</v>
          </cell>
          <cell r="M560" t="str">
            <v>G1</v>
          </cell>
          <cell r="N560" t="str">
            <v>DIGITAL MEDIA</v>
          </cell>
          <cell r="O560" t="str">
            <v>A240</v>
          </cell>
          <cell r="P560" t="str">
            <v>SEARCH</v>
          </cell>
          <cell r="Q560" t="str">
            <v>2024</v>
          </cell>
          <cell r="R560" t="str">
            <v>FZX363</v>
          </cell>
          <cell r="S560" t="str">
            <v>Falabella Retail S.A.</v>
          </cell>
          <cell r="T560" t="str">
            <v/>
          </cell>
          <cell r="U560" t="str">
            <v>CERRADA</v>
          </cell>
        </row>
        <row r="561">
          <cell r="C561" t="str">
            <v>T24C850000381</v>
          </cell>
          <cell r="D561" t="str">
            <v>A24C850000566</v>
          </cell>
          <cell r="E561">
            <v>3000000</v>
          </cell>
          <cell r="F561">
            <v>0</v>
          </cell>
          <cell r="G561" t="str">
            <v>Mobile Phone</v>
          </cell>
          <cell r="H561" t="str">
            <v>[1]SAMSUNG WEEK CAMPAIGN FALABELLA - MARCH</v>
          </cell>
          <cell r="I561" t="str">
            <v>Closed</v>
          </cell>
          <cell r="J561" t="str">
            <v>fernandez.r</v>
          </cell>
          <cell r="K561">
            <v>45371</v>
          </cell>
          <cell r="L561">
            <v>45443</v>
          </cell>
          <cell r="M561" t="str">
            <v>G1</v>
          </cell>
          <cell r="N561" t="str">
            <v>DIGITAL MEDIA</v>
          </cell>
          <cell r="O561" t="str">
            <v>A250</v>
          </cell>
          <cell r="P561" t="str">
            <v>DISPLAY</v>
          </cell>
          <cell r="Q561" t="str">
            <v>2024</v>
          </cell>
          <cell r="R561" t="str">
            <v>FZX363</v>
          </cell>
          <cell r="S561" t="str">
            <v>Falabella Retail S.A.</v>
          </cell>
          <cell r="T561" t="str">
            <v/>
          </cell>
          <cell r="U561" t="str">
            <v>CERRADA</v>
          </cell>
        </row>
        <row r="562">
          <cell r="C562" t="str">
            <v>T24C850000381</v>
          </cell>
          <cell r="D562" t="str">
            <v>A24C850000566</v>
          </cell>
          <cell r="E562">
            <v>0</v>
          </cell>
          <cell r="F562">
            <v>3000000</v>
          </cell>
          <cell r="G562" t="str">
            <v>Mobile Phone</v>
          </cell>
          <cell r="H562" t="str">
            <v>[1]SAMSUNG WEEK CAMPAIGN FALABELLA - MARCH</v>
          </cell>
          <cell r="I562" t="str">
            <v>Closed</v>
          </cell>
          <cell r="J562" t="str">
            <v>fernandez.r</v>
          </cell>
          <cell r="K562">
            <v>45371</v>
          </cell>
          <cell r="L562">
            <v>45443</v>
          </cell>
          <cell r="M562" t="str">
            <v>G1</v>
          </cell>
          <cell r="N562" t="str">
            <v>DIGITAL MEDIA</v>
          </cell>
          <cell r="O562" t="str">
            <v>A250</v>
          </cell>
          <cell r="P562" t="str">
            <v>DISPLAY</v>
          </cell>
          <cell r="Q562" t="str">
            <v>2024</v>
          </cell>
          <cell r="R562" t="str">
            <v>FZX363</v>
          </cell>
          <cell r="S562" t="str">
            <v>Falabella Retail S.A.</v>
          </cell>
          <cell r="T562" t="str">
            <v/>
          </cell>
          <cell r="U562" t="str">
            <v>CERRADA</v>
          </cell>
        </row>
        <row r="563">
          <cell r="C563" t="str">
            <v>T24C850000381</v>
          </cell>
          <cell r="D563" t="str">
            <v>A24C850000566</v>
          </cell>
          <cell r="E563">
            <v>6000000</v>
          </cell>
          <cell r="F563">
            <v>0</v>
          </cell>
          <cell r="G563" t="str">
            <v>Mobile Phone</v>
          </cell>
          <cell r="H563" t="str">
            <v>[1]SAMSUNG WEEK CAMPAIGN FALABELLA - MARCH</v>
          </cell>
          <cell r="I563" t="str">
            <v>Closed</v>
          </cell>
          <cell r="J563" t="str">
            <v>fernandez.r</v>
          </cell>
          <cell r="K563">
            <v>45371</v>
          </cell>
          <cell r="L563">
            <v>45443</v>
          </cell>
          <cell r="M563" t="str">
            <v>G1</v>
          </cell>
          <cell r="N563" t="str">
            <v>DIGITAL MEDIA</v>
          </cell>
          <cell r="O563" t="str">
            <v>A240</v>
          </cell>
          <cell r="P563" t="str">
            <v>SEARCH</v>
          </cell>
          <cell r="Q563" t="str">
            <v>2024</v>
          </cell>
          <cell r="R563" t="str">
            <v>FZX363</v>
          </cell>
          <cell r="S563" t="str">
            <v>Falabella Retail S.A.</v>
          </cell>
          <cell r="T563" t="str">
            <v/>
          </cell>
          <cell r="U563" t="str">
            <v>CERRADA</v>
          </cell>
        </row>
        <row r="564">
          <cell r="C564" t="str">
            <v>T24C850000381</v>
          </cell>
          <cell r="D564" t="str">
            <v>A24C850000566</v>
          </cell>
          <cell r="E564">
            <v>0</v>
          </cell>
          <cell r="F564">
            <v>6000000</v>
          </cell>
          <cell r="G564" t="str">
            <v>Mobile Phone</v>
          </cell>
          <cell r="H564" t="str">
            <v>[1]SAMSUNG WEEK CAMPAIGN FALABELLA - MARCH</v>
          </cell>
          <cell r="I564" t="str">
            <v>Closed</v>
          </cell>
          <cell r="J564" t="str">
            <v>fernandez.r</v>
          </cell>
          <cell r="K564">
            <v>45371</v>
          </cell>
          <cell r="L564">
            <v>45443</v>
          </cell>
          <cell r="M564" t="str">
            <v>G1</v>
          </cell>
          <cell r="N564" t="str">
            <v>DIGITAL MEDIA</v>
          </cell>
          <cell r="O564" t="str">
            <v>A240</v>
          </cell>
          <cell r="P564" t="str">
            <v>SEARCH</v>
          </cell>
          <cell r="Q564" t="str">
            <v>2024</v>
          </cell>
          <cell r="R564" t="str">
            <v>FZX363</v>
          </cell>
          <cell r="S564" t="str">
            <v>Falabella Retail S.A.</v>
          </cell>
          <cell r="T564" t="str">
            <v/>
          </cell>
          <cell r="U564" t="str">
            <v>CERRADA</v>
          </cell>
        </row>
        <row r="565">
          <cell r="C565" t="str">
            <v>T24C850000402</v>
          </cell>
          <cell r="D565" t="str">
            <v>A24C850000619</v>
          </cell>
          <cell r="E565">
            <v>7000000</v>
          </cell>
          <cell r="F565">
            <v>0</v>
          </cell>
          <cell r="G565" t="str">
            <v>Mobile Phone</v>
          </cell>
          <cell r="H565" t="str">
            <v>[1]RETAIL -  FALABELLA - WEAR - MARCH</v>
          </cell>
          <cell r="I565" t="str">
            <v>Completed</v>
          </cell>
          <cell r="J565" t="str">
            <v>fernandez.r</v>
          </cell>
          <cell r="K565">
            <v>45378</v>
          </cell>
          <cell r="L565">
            <v>45443</v>
          </cell>
          <cell r="M565" t="str">
            <v>G1</v>
          </cell>
          <cell r="N565" t="str">
            <v>DIGITAL MEDIA</v>
          </cell>
          <cell r="O565" t="str">
            <v>A240</v>
          </cell>
          <cell r="P565" t="str">
            <v>SEARCH</v>
          </cell>
          <cell r="Q565" t="str">
            <v>2024</v>
          </cell>
          <cell r="R565" t="str">
            <v>FZX363</v>
          </cell>
          <cell r="S565" t="str">
            <v>Falabella Retail S.A.</v>
          </cell>
          <cell r="T565" t="str">
            <v/>
          </cell>
          <cell r="U565" t="str">
            <v>CERRAR</v>
          </cell>
        </row>
        <row r="566">
          <cell r="C566" t="str">
            <v>T24C850000402</v>
          </cell>
          <cell r="D566" t="str">
            <v>A24C850000619</v>
          </cell>
          <cell r="E566">
            <v>0</v>
          </cell>
          <cell r="F566">
            <v>1000000</v>
          </cell>
          <cell r="G566" t="str">
            <v>Mobile Phone</v>
          </cell>
          <cell r="H566" t="str">
            <v>[1]RETAIL -  FALABELLA - WEAR - MARCH</v>
          </cell>
          <cell r="I566" t="str">
            <v>Completed</v>
          </cell>
          <cell r="J566" t="str">
            <v>fernandez.r</v>
          </cell>
          <cell r="K566">
            <v>45378</v>
          </cell>
          <cell r="L566">
            <v>45443</v>
          </cell>
          <cell r="M566" t="str">
            <v>G1</v>
          </cell>
          <cell r="N566" t="str">
            <v>DIGITAL MEDIA</v>
          </cell>
          <cell r="O566" t="str">
            <v>A240</v>
          </cell>
          <cell r="P566" t="str">
            <v>SEARCH</v>
          </cell>
          <cell r="Q566" t="str">
            <v>2024</v>
          </cell>
          <cell r="R566" t="str">
            <v>FZX363</v>
          </cell>
          <cell r="S566" t="str">
            <v>Falabella Retail S.A.</v>
          </cell>
          <cell r="T566" t="str">
            <v/>
          </cell>
          <cell r="U566" t="str">
            <v>CERRAR</v>
          </cell>
        </row>
        <row r="567">
          <cell r="C567" t="str">
            <v>T24C850000402</v>
          </cell>
          <cell r="D567" t="str">
            <v>A24C850000619</v>
          </cell>
          <cell r="E567">
            <v>0</v>
          </cell>
          <cell r="F567">
            <v>5634403</v>
          </cell>
          <cell r="G567" t="str">
            <v>Mobile Phone</v>
          </cell>
          <cell r="H567" t="str">
            <v>[1]RETAIL -  FALABELLA - WEAR - MARCH</v>
          </cell>
          <cell r="I567" t="str">
            <v>Completed</v>
          </cell>
          <cell r="J567" t="str">
            <v>fernandez.r</v>
          </cell>
          <cell r="K567">
            <v>45378</v>
          </cell>
          <cell r="L567">
            <v>45443</v>
          </cell>
          <cell r="M567" t="str">
            <v>G1</v>
          </cell>
          <cell r="N567" t="str">
            <v>DIGITAL MEDIA</v>
          </cell>
          <cell r="O567" t="str">
            <v>A240</v>
          </cell>
          <cell r="P567" t="str">
            <v>SEARCH</v>
          </cell>
          <cell r="Q567" t="str">
            <v>2024</v>
          </cell>
          <cell r="R567" t="str">
            <v>FZX363</v>
          </cell>
          <cell r="S567" t="str">
            <v>Falabella Retail S.A.</v>
          </cell>
          <cell r="T567" t="str">
            <v/>
          </cell>
          <cell r="U567" t="str">
            <v>CERRAR</v>
          </cell>
        </row>
        <row r="568">
          <cell r="C568" t="str">
            <v>T24C850000402</v>
          </cell>
          <cell r="D568" t="str">
            <v>A24C850000619</v>
          </cell>
          <cell r="E568">
            <v>3000000</v>
          </cell>
          <cell r="F568">
            <v>0</v>
          </cell>
          <cell r="G568" t="str">
            <v>Mobile Phone</v>
          </cell>
          <cell r="H568" t="str">
            <v>[1]RETAIL -  FALABELLA - WEAR - MARCH</v>
          </cell>
          <cell r="I568" t="str">
            <v>Completed</v>
          </cell>
          <cell r="J568" t="str">
            <v>fernandez.r</v>
          </cell>
          <cell r="K568">
            <v>45378</v>
          </cell>
          <cell r="L568">
            <v>45443</v>
          </cell>
          <cell r="M568" t="str">
            <v>G1</v>
          </cell>
          <cell r="N568" t="str">
            <v>DIGITAL MEDIA</v>
          </cell>
          <cell r="O568" t="str">
            <v>A250</v>
          </cell>
          <cell r="P568" t="str">
            <v>DISPLAY</v>
          </cell>
          <cell r="Q568" t="str">
            <v>2024</v>
          </cell>
          <cell r="R568" t="str">
            <v>FZX363</v>
          </cell>
          <cell r="S568" t="str">
            <v>Falabella Retail S.A.</v>
          </cell>
          <cell r="T568" t="str">
            <v/>
          </cell>
          <cell r="U568" t="str">
            <v>CERRAR</v>
          </cell>
        </row>
        <row r="569">
          <cell r="C569" t="str">
            <v>T24C850000402</v>
          </cell>
          <cell r="D569" t="str">
            <v>A24C850000619</v>
          </cell>
          <cell r="E569">
            <v>0</v>
          </cell>
          <cell r="F569">
            <v>2997900</v>
          </cell>
          <cell r="G569" t="str">
            <v>Mobile Phone</v>
          </cell>
          <cell r="H569" t="str">
            <v>[1]RETAIL -  FALABELLA - WEAR - MARCH</v>
          </cell>
          <cell r="I569" t="str">
            <v>Completed</v>
          </cell>
          <cell r="J569" t="str">
            <v>fernandez.r</v>
          </cell>
          <cell r="K569">
            <v>45378</v>
          </cell>
          <cell r="L569">
            <v>45443</v>
          </cell>
          <cell r="M569" t="str">
            <v>G1</v>
          </cell>
          <cell r="N569" t="str">
            <v>DIGITAL MEDIA</v>
          </cell>
          <cell r="O569" t="str">
            <v>A250</v>
          </cell>
          <cell r="P569" t="str">
            <v>DISPLAY</v>
          </cell>
          <cell r="Q569" t="str">
            <v>2024</v>
          </cell>
          <cell r="R569" t="str">
            <v>FZX363</v>
          </cell>
          <cell r="S569" t="str">
            <v>Falabella Retail S.A.</v>
          </cell>
          <cell r="T569" t="str">
            <v/>
          </cell>
          <cell r="U569" t="str">
            <v>CERRAR</v>
          </cell>
        </row>
        <row r="570">
          <cell r="C570" t="str">
            <v>T24C850000402</v>
          </cell>
          <cell r="D570" t="str">
            <v>A24C850000619</v>
          </cell>
          <cell r="E570">
            <v>0</v>
          </cell>
          <cell r="F570">
            <v>2100</v>
          </cell>
          <cell r="G570" t="str">
            <v>Mobile Phone</v>
          </cell>
          <cell r="H570" t="str">
            <v>[1]RETAIL -  FALABELLA - WEAR - MARCH</v>
          </cell>
          <cell r="I570" t="str">
            <v>Completed</v>
          </cell>
          <cell r="J570" t="str">
            <v>fernandez.r</v>
          </cell>
          <cell r="K570">
            <v>45378</v>
          </cell>
          <cell r="L570">
            <v>45443</v>
          </cell>
          <cell r="M570" t="str">
            <v>G1</v>
          </cell>
          <cell r="N570" t="str">
            <v>DIGITAL MEDIA</v>
          </cell>
          <cell r="O570" t="str">
            <v>A250</v>
          </cell>
          <cell r="P570" t="str">
            <v>DISPLAY</v>
          </cell>
          <cell r="Q570" t="str">
            <v>2024</v>
          </cell>
          <cell r="R570" t="str">
            <v>FZX363</v>
          </cell>
          <cell r="S570" t="str">
            <v>Falabella Retail S.A.</v>
          </cell>
          <cell r="T570" t="str">
            <v/>
          </cell>
          <cell r="U570" t="str">
            <v>CERRAR</v>
          </cell>
        </row>
        <row r="571">
          <cell r="C571" t="str">
            <v>T24C850000459</v>
          </cell>
          <cell r="D571" t="str">
            <v>A24C850000690</v>
          </cell>
          <cell r="E571">
            <v>7000000</v>
          </cell>
          <cell r="F571">
            <v>0</v>
          </cell>
          <cell r="G571" t="str">
            <v>Computer</v>
          </cell>
          <cell r="H571" t="str">
            <v>[1]NPC GB4 CAMPAIGN FALABELLA -  MARCH</v>
          </cell>
          <cell r="I571" t="str">
            <v>Completed</v>
          </cell>
          <cell r="J571" t="str">
            <v>fernandez.r</v>
          </cell>
          <cell r="K571">
            <v>45382</v>
          </cell>
          <cell r="L571">
            <v>45473</v>
          </cell>
          <cell r="M571" t="str">
            <v>C3</v>
          </cell>
          <cell r="N571" t="str">
            <v>DIGITAL MEDIA</v>
          </cell>
          <cell r="O571" t="str">
            <v>A250</v>
          </cell>
          <cell r="P571" t="str">
            <v>DISPLAY</v>
          </cell>
          <cell r="Q571" t="str">
            <v>2024</v>
          </cell>
          <cell r="R571" t="str">
            <v>FZX363</v>
          </cell>
          <cell r="S571" t="str">
            <v>Falabella Retail S.A.</v>
          </cell>
          <cell r="T571" t="str">
            <v/>
          </cell>
          <cell r="U571" t="str">
            <v>Remanente pedir factura</v>
          </cell>
        </row>
        <row r="572">
          <cell r="C572" t="str">
            <v>T24C850000459</v>
          </cell>
          <cell r="D572" t="str">
            <v>A24C850000690</v>
          </cell>
          <cell r="E572">
            <v>13000000</v>
          </cell>
          <cell r="F572">
            <v>0</v>
          </cell>
          <cell r="G572" t="str">
            <v>Computer</v>
          </cell>
          <cell r="H572" t="str">
            <v>[1]NPC GB4 CAMPAIGN FALABELLA -  MARCH</v>
          </cell>
          <cell r="I572" t="str">
            <v>Completed</v>
          </cell>
          <cell r="J572" t="str">
            <v>fernandez.r</v>
          </cell>
          <cell r="K572">
            <v>45382</v>
          </cell>
          <cell r="L572">
            <v>45473</v>
          </cell>
          <cell r="M572" t="str">
            <v>C3</v>
          </cell>
          <cell r="N572" t="str">
            <v>DIGITAL MEDIA</v>
          </cell>
          <cell r="O572" t="str">
            <v>A240</v>
          </cell>
          <cell r="P572" t="str">
            <v>SEARCH</v>
          </cell>
          <cell r="Q572" t="str">
            <v>2024</v>
          </cell>
          <cell r="R572" t="str">
            <v>FZX363</v>
          </cell>
          <cell r="S572" t="str">
            <v>Falabella Retail S.A.</v>
          </cell>
          <cell r="T572" t="str">
            <v/>
          </cell>
          <cell r="U572" t="str">
            <v>Remanente pedir factura</v>
          </cell>
        </row>
        <row r="573">
          <cell r="C573" t="str">
            <v>T24C850000509</v>
          </cell>
          <cell r="D573" t="str">
            <v>A24C850000712</v>
          </cell>
          <cell r="E573">
            <v>5000000</v>
          </cell>
          <cell r="F573">
            <v>0</v>
          </cell>
          <cell r="G573" t="str">
            <v>Mobile Phone</v>
          </cell>
          <cell r="H573" t="str">
            <v>[1]A SERIES CAMPAIGN - RETAILERS - APRIL</v>
          </cell>
          <cell r="I573" t="str">
            <v>Completed</v>
          </cell>
          <cell r="J573" t="str">
            <v>fernandez.r</v>
          </cell>
          <cell r="K573">
            <v>45385</v>
          </cell>
          <cell r="L573">
            <v>45504</v>
          </cell>
          <cell r="M573" t="str">
            <v>G1</v>
          </cell>
          <cell r="N573" t="str">
            <v>DIGITAL MEDIA</v>
          </cell>
          <cell r="O573" t="str">
            <v>A250</v>
          </cell>
          <cell r="P573" t="str">
            <v>DISPLAY</v>
          </cell>
          <cell r="Q573" t="str">
            <v>2024</v>
          </cell>
          <cell r="R573" t="str">
            <v>FZX363</v>
          </cell>
          <cell r="S573" t="str">
            <v>Falabella Retail S.A.</v>
          </cell>
          <cell r="T573" t="str">
            <v/>
          </cell>
          <cell r="U573" t="str">
            <v>CERRAR</v>
          </cell>
        </row>
        <row r="574">
          <cell r="C574" t="str">
            <v>T24C850000509</v>
          </cell>
          <cell r="D574" t="str">
            <v>A24C850000712</v>
          </cell>
          <cell r="E574">
            <v>0</v>
          </cell>
          <cell r="F574">
            <v>4844344</v>
          </cell>
          <cell r="G574" t="str">
            <v>Mobile Phone</v>
          </cell>
          <cell r="H574" t="str">
            <v>[1]A SERIES CAMPAIGN - RETAILERS - APRIL</v>
          </cell>
          <cell r="I574" t="str">
            <v>Completed</v>
          </cell>
          <cell r="J574" t="str">
            <v>fernandez.r</v>
          </cell>
          <cell r="K574">
            <v>45385</v>
          </cell>
          <cell r="L574">
            <v>45504</v>
          </cell>
          <cell r="M574" t="str">
            <v>G1</v>
          </cell>
          <cell r="N574" t="str">
            <v>DIGITAL MEDIA</v>
          </cell>
          <cell r="O574" t="str">
            <v>A250</v>
          </cell>
          <cell r="P574" t="str">
            <v>DISPLAY</v>
          </cell>
          <cell r="Q574" t="str">
            <v>2024</v>
          </cell>
          <cell r="R574" t="str">
            <v>FZX363</v>
          </cell>
          <cell r="S574" t="str">
            <v>Falabella Retail S.A.</v>
          </cell>
          <cell r="T574" t="str">
            <v/>
          </cell>
          <cell r="U574" t="str">
            <v>CERRAR</v>
          </cell>
        </row>
        <row r="575">
          <cell r="C575" t="str">
            <v>T24C850000509</v>
          </cell>
          <cell r="D575" t="str">
            <v>A24C850000712</v>
          </cell>
          <cell r="E575">
            <v>3000000</v>
          </cell>
          <cell r="F575">
            <v>0</v>
          </cell>
          <cell r="G575" t="str">
            <v>Mobile Phone</v>
          </cell>
          <cell r="H575" t="str">
            <v>[1]A SERIES CAMPAIGN - RETAILERS - APRIL</v>
          </cell>
          <cell r="I575" t="str">
            <v>Completed</v>
          </cell>
          <cell r="J575" t="str">
            <v>fernandez.r</v>
          </cell>
          <cell r="K575">
            <v>45385</v>
          </cell>
          <cell r="L575">
            <v>45504</v>
          </cell>
          <cell r="M575" t="str">
            <v>G1</v>
          </cell>
          <cell r="N575" t="str">
            <v>DIGITAL MEDIA</v>
          </cell>
          <cell r="O575" t="str">
            <v>A230</v>
          </cell>
          <cell r="P575" t="str">
            <v>SOCIAL ADS</v>
          </cell>
          <cell r="Q575" t="str">
            <v>2024</v>
          </cell>
          <cell r="R575" t="str">
            <v>FZX363</v>
          </cell>
          <cell r="S575" t="str">
            <v>Falabella Retail S.A.</v>
          </cell>
          <cell r="T575" t="str">
            <v/>
          </cell>
          <cell r="U575" t="str">
            <v>CERRAR</v>
          </cell>
        </row>
        <row r="576">
          <cell r="C576" t="str">
            <v>T24C850000509</v>
          </cell>
          <cell r="D576" t="str">
            <v>A24C850000712</v>
          </cell>
          <cell r="E576">
            <v>0</v>
          </cell>
          <cell r="F576">
            <v>3000000</v>
          </cell>
          <cell r="G576" t="str">
            <v>Mobile Phone</v>
          </cell>
          <cell r="H576" t="str">
            <v>[1]A SERIES CAMPAIGN - RETAILERS - APRIL</v>
          </cell>
          <cell r="I576" t="str">
            <v>Completed</v>
          </cell>
          <cell r="J576" t="str">
            <v>fernandez.r</v>
          </cell>
          <cell r="K576">
            <v>45385</v>
          </cell>
          <cell r="L576">
            <v>45504</v>
          </cell>
          <cell r="M576" t="str">
            <v>G1</v>
          </cell>
          <cell r="N576" t="str">
            <v>DIGITAL MEDIA</v>
          </cell>
          <cell r="O576" t="str">
            <v>A230</v>
          </cell>
          <cell r="P576" t="str">
            <v>SOCIAL ADS</v>
          </cell>
          <cell r="Q576" t="str">
            <v>2024</v>
          </cell>
          <cell r="R576" t="str">
            <v>FZX363</v>
          </cell>
          <cell r="S576" t="str">
            <v>Falabella Retail S.A.</v>
          </cell>
          <cell r="T576" t="str">
            <v/>
          </cell>
          <cell r="U576" t="str">
            <v>CERRAR</v>
          </cell>
        </row>
        <row r="577">
          <cell r="C577" t="str">
            <v>T24C850000509</v>
          </cell>
          <cell r="D577" t="str">
            <v>A24C850000712</v>
          </cell>
          <cell r="E577">
            <v>12000000</v>
          </cell>
          <cell r="F577">
            <v>0</v>
          </cell>
          <cell r="G577" t="str">
            <v>Mobile Phone</v>
          </cell>
          <cell r="H577" t="str">
            <v>[1]A SERIES CAMPAIGN - RETAILERS - APRIL</v>
          </cell>
          <cell r="I577" t="str">
            <v>Completed</v>
          </cell>
          <cell r="J577" t="str">
            <v>fernandez.r</v>
          </cell>
          <cell r="K577">
            <v>45385</v>
          </cell>
          <cell r="L577">
            <v>45504</v>
          </cell>
          <cell r="M577" t="str">
            <v>G1</v>
          </cell>
          <cell r="N577" t="str">
            <v>DIGITAL MEDIA</v>
          </cell>
          <cell r="O577" t="str">
            <v>A240</v>
          </cell>
          <cell r="P577" t="str">
            <v>SEARCH</v>
          </cell>
          <cell r="Q577" t="str">
            <v>2024</v>
          </cell>
          <cell r="R577" t="str">
            <v>FZX363</v>
          </cell>
          <cell r="S577" t="str">
            <v>Falabella Retail S.A.</v>
          </cell>
          <cell r="T577" t="str">
            <v/>
          </cell>
          <cell r="U577" t="str">
            <v>CERRAR</v>
          </cell>
        </row>
        <row r="578">
          <cell r="C578" t="str">
            <v>T24C850000509</v>
          </cell>
          <cell r="D578" t="str">
            <v>A24C850000712</v>
          </cell>
          <cell r="E578">
            <v>0</v>
          </cell>
          <cell r="F578">
            <v>12000000</v>
          </cell>
          <cell r="G578" t="str">
            <v>Mobile Phone</v>
          </cell>
          <cell r="H578" t="str">
            <v>[1]A SERIES CAMPAIGN - RETAILERS - APRIL</v>
          </cell>
          <cell r="I578" t="str">
            <v>Completed</v>
          </cell>
          <cell r="J578" t="str">
            <v>fernandez.r</v>
          </cell>
          <cell r="K578">
            <v>45385</v>
          </cell>
          <cell r="L578">
            <v>45504</v>
          </cell>
          <cell r="M578" t="str">
            <v>G1</v>
          </cell>
          <cell r="N578" t="str">
            <v>DIGITAL MEDIA</v>
          </cell>
          <cell r="O578" t="str">
            <v>A240</v>
          </cell>
          <cell r="P578" t="str">
            <v>SEARCH</v>
          </cell>
          <cell r="Q578" t="str">
            <v>2024</v>
          </cell>
          <cell r="R578" t="str">
            <v>FZX363</v>
          </cell>
          <cell r="S578" t="str">
            <v>Falabella Retail S.A.</v>
          </cell>
          <cell r="T578" t="str">
            <v/>
          </cell>
          <cell r="U578" t="str">
            <v>CERRAR</v>
          </cell>
        </row>
        <row r="579">
          <cell r="C579" t="str">
            <v>T24C850000537</v>
          </cell>
          <cell r="D579" t="str">
            <v>A24C850000783</v>
          </cell>
          <cell r="E579">
            <v>1000000</v>
          </cell>
          <cell r="F579">
            <v>0</v>
          </cell>
          <cell r="G579" t="str">
            <v>Mobile Phone</v>
          </cell>
          <cell r="H579" t="str">
            <v>[1]SAMSUNG WEEK CAMPAIGN FALABELLA - APRIL</v>
          </cell>
          <cell r="I579" t="str">
            <v>Completed</v>
          </cell>
          <cell r="J579" t="str">
            <v>fernandez.r</v>
          </cell>
          <cell r="K579">
            <v>45399</v>
          </cell>
          <cell r="L579">
            <v>45473</v>
          </cell>
          <cell r="M579" t="str">
            <v>G1</v>
          </cell>
          <cell r="N579" t="str">
            <v>DIGITAL MEDIA</v>
          </cell>
          <cell r="O579" t="str">
            <v>A250</v>
          </cell>
          <cell r="P579" t="str">
            <v>DISPLAY</v>
          </cell>
          <cell r="Q579" t="str">
            <v>2024</v>
          </cell>
          <cell r="R579" t="str">
            <v>FZX363</v>
          </cell>
          <cell r="S579" t="str">
            <v>Falabella Retail S.A.</v>
          </cell>
          <cell r="T579" t="str">
            <v/>
          </cell>
          <cell r="U579" t="str">
            <v>CERRAR</v>
          </cell>
        </row>
        <row r="580">
          <cell r="C580" t="str">
            <v>T24C850000537</v>
          </cell>
          <cell r="D580" t="str">
            <v>A24C850000783</v>
          </cell>
          <cell r="E580">
            <v>0</v>
          </cell>
          <cell r="F580">
            <v>864412</v>
          </cell>
          <cell r="G580" t="str">
            <v>Mobile Phone</v>
          </cell>
          <cell r="H580" t="str">
            <v>[1]SAMSUNG WEEK CAMPAIGN FALABELLA - APRIL</v>
          </cell>
          <cell r="I580" t="str">
            <v>Completed</v>
          </cell>
          <cell r="J580" t="str">
            <v>fernandez.r</v>
          </cell>
          <cell r="K580">
            <v>45399</v>
          </cell>
          <cell r="L580">
            <v>45473</v>
          </cell>
          <cell r="M580" t="str">
            <v>G1</v>
          </cell>
          <cell r="N580" t="str">
            <v>DIGITAL MEDIA</v>
          </cell>
          <cell r="O580" t="str">
            <v>A250</v>
          </cell>
          <cell r="P580" t="str">
            <v>DISPLAY</v>
          </cell>
          <cell r="Q580" t="str">
            <v>2024</v>
          </cell>
          <cell r="R580" t="str">
            <v>FZX363</v>
          </cell>
          <cell r="S580" t="str">
            <v>Falabella Retail S.A.</v>
          </cell>
          <cell r="T580" t="str">
            <v/>
          </cell>
          <cell r="U580" t="str">
            <v>CERRAR</v>
          </cell>
        </row>
        <row r="581">
          <cell r="C581" t="str">
            <v>T24C850000537</v>
          </cell>
          <cell r="D581" t="str">
            <v>A24C850000783</v>
          </cell>
          <cell r="E581">
            <v>3000000</v>
          </cell>
          <cell r="F581">
            <v>0</v>
          </cell>
          <cell r="G581" t="str">
            <v>Mobile Phone</v>
          </cell>
          <cell r="H581" t="str">
            <v>[1]SAMSUNG WEEK CAMPAIGN FALABELLA - APRIL</v>
          </cell>
          <cell r="I581" t="str">
            <v>Completed</v>
          </cell>
          <cell r="J581" t="str">
            <v>fernandez.r</v>
          </cell>
          <cell r="K581">
            <v>45399</v>
          </cell>
          <cell r="L581">
            <v>45473</v>
          </cell>
          <cell r="M581" t="str">
            <v>G1</v>
          </cell>
          <cell r="N581" t="str">
            <v>DIGITAL MEDIA</v>
          </cell>
          <cell r="O581" t="str">
            <v>A240</v>
          </cell>
          <cell r="P581" t="str">
            <v>SEARCH</v>
          </cell>
          <cell r="Q581" t="str">
            <v>2024</v>
          </cell>
          <cell r="R581" t="str">
            <v>FZX363</v>
          </cell>
          <cell r="S581" t="str">
            <v>Falabella Retail S.A.</v>
          </cell>
          <cell r="T581" t="str">
            <v/>
          </cell>
          <cell r="U581" t="str">
            <v>CERRAR</v>
          </cell>
        </row>
        <row r="582">
          <cell r="C582" t="str">
            <v>T24C850000537</v>
          </cell>
          <cell r="D582" t="str">
            <v>A24C850000783</v>
          </cell>
          <cell r="E582">
            <v>0</v>
          </cell>
          <cell r="F582">
            <v>3000000</v>
          </cell>
          <cell r="G582" t="str">
            <v>Mobile Phone</v>
          </cell>
          <cell r="H582" t="str">
            <v>[1]SAMSUNG WEEK CAMPAIGN FALABELLA - APRIL</v>
          </cell>
          <cell r="I582" t="str">
            <v>Completed</v>
          </cell>
          <cell r="J582" t="str">
            <v>fernandez.r</v>
          </cell>
          <cell r="K582">
            <v>45399</v>
          </cell>
          <cell r="L582">
            <v>45473</v>
          </cell>
          <cell r="M582" t="str">
            <v>G1</v>
          </cell>
          <cell r="N582" t="str">
            <v>DIGITAL MEDIA</v>
          </cell>
          <cell r="O582" t="str">
            <v>A240</v>
          </cell>
          <cell r="P582" t="str">
            <v>SEARCH</v>
          </cell>
          <cell r="Q582" t="str">
            <v>2024</v>
          </cell>
          <cell r="R582" t="str">
            <v>FZX363</v>
          </cell>
          <cell r="S582" t="str">
            <v>Falabella Retail S.A.</v>
          </cell>
          <cell r="T582" t="str">
            <v/>
          </cell>
          <cell r="U582" t="str">
            <v>CERRAR</v>
          </cell>
        </row>
        <row r="583">
          <cell r="C583" t="str">
            <v>T24C850000563</v>
          </cell>
          <cell r="D583" t="str">
            <v>A24C850000791</v>
          </cell>
          <cell r="E583">
            <v>5462517</v>
          </cell>
          <cell r="F583">
            <v>0</v>
          </cell>
          <cell r="G583" t="str">
            <v>Mobile Phone</v>
          </cell>
          <cell r="H583" t="str">
            <v>[3]PP_TAB_Q2_ABRIL</v>
          </cell>
          <cell r="I583" t="str">
            <v>Completed</v>
          </cell>
          <cell r="J583" t="str">
            <v>j.albornoz</v>
          </cell>
          <cell r="K583">
            <v>45408</v>
          </cell>
          <cell r="L583">
            <v>45473</v>
          </cell>
          <cell r="M583" t="str">
            <v>G1</v>
          </cell>
          <cell r="N583" t="str">
            <v>DIGITAL MEDIA</v>
          </cell>
          <cell r="O583" t="str">
            <v>A240</v>
          </cell>
          <cell r="P583" t="str">
            <v>SEARCH</v>
          </cell>
          <cell r="Q583" t="str">
            <v>2024</v>
          </cell>
          <cell r="R583" t="str">
            <v>FZX363</v>
          </cell>
          <cell r="S583" t="str">
            <v>Falabella Retail S.A.</v>
          </cell>
          <cell r="T583" t="str">
            <v/>
          </cell>
          <cell r="U583" t="str">
            <v>Remanente pedir factura</v>
          </cell>
        </row>
        <row r="584">
          <cell r="C584" t="str">
            <v>T24C850000573</v>
          </cell>
          <cell r="D584" t="str">
            <v>A24C850000794</v>
          </cell>
          <cell r="E584">
            <v>15000000</v>
          </cell>
          <cell r="F584">
            <v>0</v>
          </cell>
          <cell r="G584" t="str">
            <v>Mobile Phone</v>
          </cell>
          <cell r="H584" t="str">
            <v>[1]PP_TAB_Q2_FALABELLA_DISPLAY</v>
          </cell>
          <cell r="I584" t="str">
            <v>Closed</v>
          </cell>
          <cell r="J584" t="str">
            <v>j.albornoz</v>
          </cell>
          <cell r="K584">
            <v>45408</v>
          </cell>
          <cell r="L584">
            <v>45473</v>
          </cell>
          <cell r="M584" t="str">
            <v>G1</v>
          </cell>
          <cell r="N584" t="str">
            <v>DIGITAL MEDIA</v>
          </cell>
          <cell r="O584" t="str">
            <v>A250</v>
          </cell>
          <cell r="P584" t="str">
            <v>DISPLAY</v>
          </cell>
          <cell r="Q584" t="str">
            <v>2024</v>
          </cell>
          <cell r="R584" t="str">
            <v>FZX363</v>
          </cell>
          <cell r="S584" t="str">
            <v>Falabella Retail S.A.</v>
          </cell>
          <cell r="T584" t="str">
            <v/>
          </cell>
          <cell r="U584" t="str">
            <v>CERRADA</v>
          </cell>
        </row>
        <row r="585">
          <cell r="C585" t="str">
            <v>T24C850000573</v>
          </cell>
          <cell r="D585" t="str">
            <v>A24C850000794</v>
          </cell>
          <cell r="E585">
            <v>0</v>
          </cell>
          <cell r="F585">
            <v>15000000</v>
          </cell>
          <cell r="G585" t="str">
            <v>Mobile Phone</v>
          </cell>
          <cell r="H585" t="str">
            <v>[1]PP_TAB_Q2_FALABELLA_DISPLAY</v>
          </cell>
          <cell r="I585" t="str">
            <v>Closed</v>
          </cell>
          <cell r="J585" t="str">
            <v>j.albornoz</v>
          </cell>
          <cell r="K585">
            <v>45408</v>
          </cell>
          <cell r="L585">
            <v>45473</v>
          </cell>
          <cell r="M585" t="str">
            <v>G1</v>
          </cell>
          <cell r="N585" t="str">
            <v>DIGITAL MEDIA</v>
          </cell>
          <cell r="O585" t="str">
            <v>A250</v>
          </cell>
          <cell r="P585" t="str">
            <v>DISPLAY</v>
          </cell>
          <cell r="Q585" t="str">
            <v>2024</v>
          </cell>
          <cell r="R585" t="str">
            <v>FZX363</v>
          </cell>
          <cell r="S585" t="str">
            <v>Falabella Retail S.A.</v>
          </cell>
          <cell r="T585" t="str">
            <v/>
          </cell>
          <cell r="U585" t="str">
            <v>CERRADA</v>
          </cell>
        </row>
        <row r="586">
          <cell r="C586" t="str">
            <v>T24C850000610</v>
          </cell>
          <cell r="D586" t="str">
            <v>A24C850000882</v>
          </cell>
          <cell r="E586">
            <v>2000000</v>
          </cell>
          <cell r="F586">
            <v>2000000</v>
          </cell>
          <cell r="G586" t="str">
            <v>Mobile Phone</v>
          </cell>
          <cell r="H586" t="str">
            <v>[1]TAB AON CAMPAIGN RETAILERS JUNE</v>
          </cell>
          <cell r="I586" t="str">
            <v>Completed</v>
          </cell>
          <cell r="J586" t="str">
            <v>fernandez.r</v>
          </cell>
          <cell r="K586">
            <v>45444</v>
          </cell>
          <cell r="L586">
            <v>45535</v>
          </cell>
          <cell r="M586" t="str">
            <v>G1</v>
          </cell>
          <cell r="N586" t="str">
            <v>DIGITAL MEDIA</v>
          </cell>
          <cell r="O586" t="str">
            <v>A250</v>
          </cell>
          <cell r="P586" t="str">
            <v>DISPLAY</v>
          </cell>
          <cell r="Q586" t="str">
            <v>2024</v>
          </cell>
          <cell r="R586" t="str">
            <v>FZX363</v>
          </cell>
          <cell r="S586" t="str">
            <v>Falabella Retail S.A.</v>
          </cell>
          <cell r="T586" t="str">
            <v/>
          </cell>
          <cell r="U586" t="str">
            <v>Remanente pedir factura</v>
          </cell>
        </row>
        <row r="587">
          <cell r="C587" t="str">
            <v>T24C850000610</v>
          </cell>
          <cell r="D587" t="str">
            <v>A24C850000882</v>
          </cell>
          <cell r="E587">
            <v>3000000</v>
          </cell>
          <cell r="F587">
            <v>3000000</v>
          </cell>
          <cell r="G587" t="str">
            <v>Mobile Phone</v>
          </cell>
          <cell r="H587" t="str">
            <v>[1]TAB AON CAMPAIGN RETAILERS JUNE</v>
          </cell>
          <cell r="I587" t="str">
            <v>Completed</v>
          </cell>
          <cell r="J587" t="str">
            <v>fernandez.r</v>
          </cell>
          <cell r="K587">
            <v>45444</v>
          </cell>
          <cell r="L587">
            <v>45535</v>
          </cell>
          <cell r="M587" t="str">
            <v>G1</v>
          </cell>
          <cell r="N587" t="str">
            <v>DIGITAL MEDIA</v>
          </cell>
          <cell r="O587" t="str">
            <v>A240</v>
          </cell>
          <cell r="P587" t="str">
            <v>SEARCH</v>
          </cell>
          <cell r="Q587" t="str">
            <v>2024</v>
          </cell>
          <cell r="R587" t="str">
            <v>FZX363</v>
          </cell>
          <cell r="S587" t="str">
            <v>Falabella Retail S.A.</v>
          </cell>
          <cell r="T587" t="str">
            <v/>
          </cell>
          <cell r="U587" t="str">
            <v>Remanente pedir factura</v>
          </cell>
        </row>
        <row r="588">
          <cell r="C588" t="str">
            <v>T24C850000617</v>
          </cell>
          <cell r="D588" t="str">
            <v>A24C850000871</v>
          </cell>
          <cell r="E588">
            <v>4000000</v>
          </cell>
          <cell r="F588">
            <v>4000000</v>
          </cell>
          <cell r="G588" t="str">
            <v>Mobile Phone</v>
          </cell>
          <cell r="H588" t="str">
            <v>[1]HHP AON CAMPAIGN RETAILERS JUNE - FALABELLA</v>
          </cell>
          <cell r="I588" t="str">
            <v>Completed</v>
          </cell>
          <cell r="J588" t="str">
            <v>fernandez.r</v>
          </cell>
          <cell r="K588">
            <v>45444</v>
          </cell>
          <cell r="L588">
            <v>45535</v>
          </cell>
          <cell r="M588" t="str">
            <v>G1</v>
          </cell>
          <cell r="N588" t="str">
            <v>DIGITAL MEDIA</v>
          </cell>
          <cell r="O588" t="str">
            <v>A250</v>
          </cell>
          <cell r="P588" t="str">
            <v>DISPLAY</v>
          </cell>
          <cell r="Q588" t="str">
            <v>2024</v>
          </cell>
          <cell r="R588" t="str">
            <v>FZX363</v>
          </cell>
          <cell r="S588" t="str">
            <v>Falabella Retail S.A.</v>
          </cell>
          <cell r="T588" t="str">
            <v/>
          </cell>
          <cell r="U588" t="str">
            <v>Remanente pedir factura</v>
          </cell>
        </row>
        <row r="589">
          <cell r="C589" t="str">
            <v>T24C850000617</v>
          </cell>
          <cell r="D589" t="str">
            <v>A24C850000871</v>
          </cell>
          <cell r="E589">
            <v>10000000</v>
          </cell>
          <cell r="F589">
            <v>10000000</v>
          </cell>
          <cell r="G589" t="str">
            <v>Mobile Phone</v>
          </cell>
          <cell r="H589" t="str">
            <v>[1]HHP AON CAMPAIGN RETAILERS JUNE - FALABELLA</v>
          </cell>
          <cell r="I589" t="str">
            <v>Completed</v>
          </cell>
          <cell r="J589" t="str">
            <v>fernandez.r</v>
          </cell>
          <cell r="K589">
            <v>45444</v>
          </cell>
          <cell r="L589">
            <v>45535</v>
          </cell>
          <cell r="M589" t="str">
            <v>G1</v>
          </cell>
          <cell r="N589" t="str">
            <v>DIGITAL MEDIA</v>
          </cell>
          <cell r="O589" t="str">
            <v>A240</v>
          </cell>
          <cell r="P589" t="str">
            <v>SEARCH</v>
          </cell>
          <cell r="Q589" t="str">
            <v>2024</v>
          </cell>
          <cell r="R589" t="str">
            <v>FZX363</v>
          </cell>
          <cell r="S589" t="str">
            <v>Falabella Retail S.A.</v>
          </cell>
          <cell r="T589" t="str">
            <v/>
          </cell>
          <cell r="U589" t="str">
            <v>Remanente pedir factura</v>
          </cell>
        </row>
        <row r="590">
          <cell r="C590" t="str">
            <v>T24C850000625</v>
          </cell>
          <cell r="D590" t="str">
            <v>A24C850000879</v>
          </cell>
          <cell r="E590">
            <v>3000000</v>
          </cell>
          <cell r="F590">
            <v>3000000</v>
          </cell>
          <cell r="G590" t="str">
            <v>Computer</v>
          </cell>
          <cell r="H590" t="str">
            <v>[1]NPC AON CAMPAIGN FALABELLA MAY</v>
          </cell>
          <cell r="I590" t="str">
            <v>Completed</v>
          </cell>
          <cell r="J590" t="str">
            <v>fernandez.r</v>
          </cell>
          <cell r="K590">
            <v>45427</v>
          </cell>
          <cell r="L590">
            <v>45535</v>
          </cell>
          <cell r="M590" t="str">
            <v>C3</v>
          </cell>
          <cell r="N590" t="str">
            <v>DIGITAL MEDIA</v>
          </cell>
          <cell r="O590" t="str">
            <v>A250</v>
          </cell>
          <cell r="P590" t="str">
            <v>DISPLAY</v>
          </cell>
          <cell r="Q590" t="str">
            <v>2024</v>
          </cell>
          <cell r="R590" t="str">
            <v>FZX363</v>
          </cell>
          <cell r="S590" t="str">
            <v>Falabella Retail S.A.</v>
          </cell>
          <cell r="T590" t="str">
            <v/>
          </cell>
          <cell r="U590" t="str">
            <v>Remanente pedir factura</v>
          </cell>
        </row>
        <row r="591">
          <cell r="C591" t="str">
            <v>T24C850000625</v>
          </cell>
          <cell r="D591" t="str">
            <v>A24C850000879</v>
          </cell>
          <cell r="E591">
            <v>6000000</v>
          </cell>
          <cell r="F591">
            <v>6000000</v>
          </cell>
          <cell r="G591" t="str">
            <v>Computer</v>
          </cell>
          <cell r="H591" t="str">
            <v>[1]NPC AON CAMPAIGN FALABELLA MAY</v>
          </cell>
          <cell r="I591" t="str">
            <v>Completed</v>
          </cell>
          <cell r="J591" t="str">
            <v>fernandez.r</v>
          </cell>
          <cell r="K591">
            <v>45427</v>
          </cell>
          <cell r="L591">
            <v>45535</v>
          </cell>
          <cell r="M591" t="str">
            <v>C3</v>
          </cell>
          <cell r="N591" t="str">
            <v>DIGITAL MEDIA</v>
          </cell>
          <cell r="O591" t="str">
            <v>A240</v>
          </cell>
          <cell r="P591" t="str">
            <v>SEARCH</v>
          </cell>
          <cell r="Q591" t="str">
            <v>2024</v>
          </cell>
          <cell r="R591" t="str">
            <v>FZX363</v>
          </cell>
          <cell r="S591" t="str">
            <v>Falabella Retail S.A.</v>
          </cell>
          <cell r="T591" t="str">
            <v/>
          </cell>
          <cell r="U591" t="str">
            <v>Remanente pedir factura</v>
          </cell>
        </row>
        <row r="592">
          <cell r="C592" t="str">
            <v>T24C850000645</v>
          </cell>
          <cell r="D592" t="str">
            <v>A24C850000881</v>
          </cell>
          <cell r="E592">
            <v>3000000</v>
          </cell>
          <cell r="F592">
            <v>0</v>
          </cell>
          <cell r="G592" t="str">
            <v>Mobile Phone</v>
          </cell>
          <cell r="H592" t="str">
            <v>[1]WEAR - RETAIL AON CAMPAIGN  MAY</v>
          </cell>
          <cell r="I592" t="str">
            <v>Completed</v>
          </cell>
          <cell r="J592" t="str">
            <v>fernandez.r</v>
          </cell>
          <cell r="K592">
            <v>45437</v>
          </cell>
          <cell r="L592">
            <v>45535</v>
          </cell>
          <cell r="M592" t="str">
            <v>G1</v>
          </cell>
          <cell r="N592" t="str">
            <v>DIGITAL MEDIA</v>
          </cell>
          <cell r="O592" t="str">
            <v>A240</v>
          </cell>
          <cell r="P592" t="str">
            <v>SEARCH</v>
          </cell>
          <cell r="Q592" t="str">
            <v>2024</v>
          </cell>
          <cell r="R592" t="str">
            <v>FZX363</v>
          </cell>
          <cell r="S592" t="str">
            <v>Falabella Retail S.A.</v>
          </cell>
          <cell r="T592" t="str">
            <v/>
          </cell>
          <cell r="U592" t="str">
            <v>NO usada</v>
          </cell>
        </row>
        <row r="593">
          <cell r="C593" t="str">
            <v>T24C850000672</v>
          </cell>
          <cell r="D593" t="str">
            <v>A24C850000931</v>
          </cell>
          <cell r="E593">
            <v>2000000</v>
          </cell>
          <cell r="F593">
            <v>2000000</v>
          </cell>
          <cell r="G593" t="str">
            <v>Mobile Phone</v>
          </cell>
          <cell r="H593" t="str">
            <v>[1]PP TAB_MAY_AON</v>
          </cell>
          <cell r="I593" t="str">
            <v>Completed</v>
          </cell>
          <cell r="J593" t="str">
            <v>j.albornoz</v>
          </cell>
          <cell r="K593">
            <v>45442</v>
          </cell>
          <cell r="L593">
            <v>45473</v>
          </cell>
          <cell r="M593" t="str">
            <v>G1</v>
          </cell>
          <cell r="N593" t="str">
            <v>DIGITAL MEDIA</v>
          </cell>
          <cell r="O593" t="str">
            <v>A250</v>
          </cell>
          <cell r="P593" t="str">
            <v>DISPLAY</v>
          </cell>
          <cell r="Q593" t="str">
            <v>2024</v>
          </cell>
          <cell r="R593" t="str">
            <v>FZX363</v>
          </cell>
          <cell r="S593" t="str">
            <v>Falabella Retail S.A.</v>
          </cell>
          <cell r="T593" t="str">
            <v/>
          </cell>
          <cell r="U593" t="str">
            <v>Remanente pedir factura</v>
          </cell>
        </row>
        <row r="594">
          <cell r="C594" t="str">
            <v>T24C850000672</v>
          </cell>
          <cell r="D594" t="str">
            <v>A24C850000931</v>
          </cell>
          <cell r="E594">
            <v>3000000</v>
          </cell>
          <cell r="F594">
            <v>3000000</v>
          </cell>
          <cell r="G594" t="str">
            <v>Mobile Phone</v>
          </cell>
          <cell r="H594" t="str">
            <v>[1]PP TAB_MAY_AON</v>
          </cell>
          <cell r="I594" t="str">
            <v>Completed</v>
          </cell>
          <cell r="J594" t="str">
            <v>j.albornoz</v>
          </cell>
          <cell r="K594">
            <v>45442</v>
          </cell>
          <cell r="L594">
            <v>45473</v>
          </cell>
          <cell r="M594" t="str">
            <v>G1</v>
          </cell>
          <cell r="N594" t="str">
            <v>DIGITAL MEDIA</v>
          </cell>
          <cell r="O594" t="str">
            <v>A240</v>
          </cell>
          <cell r="P594" t="str">
            <v>SEARCH</v>
          </cell>
          <cell r="Q594" t="str">
            <v>2024</v>
          </cell>
          <cell r="R594" t="str">
            <v>FZX363</v>
          </cell>
          <cell r="S594" t="str">
            <v>Falabella Retail S.A.</v>
          </cell>
          <cell r="T594" t="str">
            <v/>
          </cell>
          <cell r="U594" t="str">
            <v>Remanente pedir factura</v>
          </cell>
        </row>
        <row r="595">
          <cell r="C595" t="str">
            <v>T24C850000718</v>
          </cell>
          <cell r="D595" t="str">
            <v>A24C850000967</v>
          </cell>
          <cell r="E595">
            <v>3000000</v>
          </cell>
          <cell r="F595">
            <v>0</v>
          </cell>
          <cell r="G595" t="str">
            <v>Mobile Phone</v>
          </cell>
          <cell r="H595" t="str">
            <v>[1]CO MARKEITNG FALABELLA CYBER 2024 / HHP - AVTV - DA  / BERNAL.B / CYBER CAMPAIGN</v>
          </cell>
          <cell r="I595" t="str">
            <v>Completed</v>
          </cell>
          <cell r="J595" t="str">
            <v>bernal.b</v>
          </cell>
          <cell r="K595">
            <v>45445</v>
          </cell>
          <cell r="L595">
            <v>45458</v>
          </cell>
          <cell r="M595" t="str">
            <v>G1</v>
          </cell>
          <cell r="N595" t="str">
            <v>DIGITAL MEDIA</v>
          </cell>
          <cell r="O595" t="str">
            <v>A230</v>
          </cell>
          <cell r="P595" t="str">
            <v>SOCIAL ADS</v>
          </cell>
          <cell r="Q595" t="str">
            <v>2024</v>
          </cell>
          <cell r="R595" t="str">
            <v>FZX363</v>
          </cell>
          <cell r="S595" t="str">
            <v>Falabella Retail S.A.</v>
          </cell>
          <cell r="T595" t="str">
            <v/>
          </cell>
          <cell r="U595" t="str">
            <v>No hay registros</v>
          </cell>
        </row>
        <row r="596">
          <cell r="C596" t="str">
            <v>T24C850000718</v>
          </cell>
          <cell r="D596" t="str">
            <v>A24C850000967</v>
          </cell>
          <cell r="E596">
            <v>3000000</v>
          </cell>
          <cell r="F596">
            <v>0</v>
          </cell>
          <cell r="G596" t="str">
            <v>Mobile Phone</v>
          </cell>
          <cell r="H596" t="str">
            <v>[1]CO MARKEITNG FALABELLA CYBER 2024 / HHP - AVTV - DA  / BERNAL.B / CYBER CAMPAIGN</v>
          </cell>
          <cell r="I596" t="str">
            <v>Completed</v>
          </cell>
          <cell r="J596" t="str">
            <v>bernal.b</v>
          </cell>
          <cell r="K596">
            <v>45445</v>
          </cell>
          <cell r="L596">
            <v>45458</v>
          </cell>
          <cell r="M596" t="str">
            <v>G1</v>
          </cell>
          <cell r="N596" t="str">
            <v>DIGITAL MEDIA</v>
          </cell>
          <cell r="O596" t="str">
            <v>A250</v>
          </cell>
          <cell r="P596" t="str">
            <v>DISPLAY</v>
          </cell>
          <cell r="Q596" t="str">
            <v>2024</v>
          </cell>
          <cell r="R596" t="str">
            <v>FZX363</v>
          </cell>
          <cell r="S596" t="str">
            <v>Falabella Retail S.A.</v>
          </cell>
          <cell r="T596" t="str">
            <v/>
          </cell>
          <cell r="U596" t="str">
            <v>No hay registros</v>
          </cell>
        </row>
        <row r="597">
          <cell r="C597" t="str">
            <v>T24C850000735</v>
          </cell>
          <cell r="D597" t="str">
            <v>A24C850001037</v>
          </cell>
          <cell r="E597">
            <v>4000000</v>
          </cell>
          <cell r="F597">
            <v>0</v>
          </cell>
          <cell r="G597" t="str">
            <v>Mobile Phone</v>
          </cell>
          <cell r="H597" t="str">
            <v>[1]HHP FATHERS DAYS - RETAILERS JUNE - FALABELLA</v>
          </cell>
          <cell r="I597" t="str">
            <v>Completed</v>
          </cell>
          <cell r="J597" t="str">
            <v>sjara.mella</v>
          </cell>
          <cell r="K597">
            <v>45455</v>
          </cell>
          <cell r="L597">
            <v>45535</v>
          </cell>
          <cell r="M597" t="str">
            <v>G1</v>
          </cell>
          <cell r="N597" t="str">
            <v>DIGITAL MEDIA</v>
          </cell>
          <cell r="O597" t="str">
            <v>A240</v>
          </cell>
          <cell r="P597" t="str">
            <v>SEARCH</v>
          </cell>
          <cell r="Q597" t="str">
            <v>2024</v>
          </cell>
          <cell r="R597" t="str">
            <v>FZX363</v>
          </cell>
          <cell r="S597" t="str">
            <v>Falabella Retail S.A.</v>
          </cell>
          <cell r="T597" t="str">
            <v/>
          </cell>
          <cell r="U597" t="str">
            <v>No hay registros</v>
          </cell>
        </row>
        <row r="598">
          <cell r="C598" t="str">
            <v>T24C850000800</v>
          </cell>
          <cell r="D598" t="str">
            <v>A24C850001114</v>
          </cell>
          <cell r="E598">
            <v>6000000</v>
          </cell>
          <cell r="F598">
            <v>0</v>
          </cell>
          <cell r="G598" t="str">
            <v>Mobile Phone</v>
          </cell>
          <cell r="H598" t="str">
            <v>[1]HHP S24 SUSTAIN CAMPAIGN RETAIL A 2024</v>
          </cell>
          <cell r="I598" t="str">
            <v>Completed</v>
          </cell>
          <cell r="J598" t="str">
            <v>fernandez.r</v>
          </cell>
          <cell r="K598">
            <v>45473</v>
          </cell>
          <cell r="L598">
            <v>45565</v>
          </cell>
          <cell r="M598" t="str">
            <v>G1</v>
          </cell>
          <cell r="N598" t="str">
            <v>DIGITAL MEDIA</v>
          </cell>
          <cell r="O598" t="str">
            <v>A240</v>
          </cell>
          <cell r="P598" t="str">
            <v>SEARCH</v>
          </cell>
          <cell r="Q598" t="str">
            <v>2024</v>
          </cell>
          <cell r="R598" t="str">
            <v>FZX363</v>
          </cell>
          <cell r="S598" t="str">
            <v>Falabella Retail S.A.</v>
          </cell>
          <cell r="T598" t="str">
            <v/>
          </cell>
          <cell r="U598" t="str">
            <v>NO se ha usado</v>
          </cell>
        </row>
        <row r="599">
          <cell r="C599" t="str">
            <v>T24C850000800</v>
          </cell>
          <cell r="D599" t="str">
            <v>A24C850001114</v>
          </cell>
          <cell r="E599">
            <v>6000000</v>
          </cell>
          <cell r="F599">
            <v>0</v>
          </cell>
          <cell r="G599" t="str">
            <v>Mobile Phone</v>
          </cell>
          <cell r="H599" t="str">
            <v>[1]HHP S24 SUSTAIN CAMPAIGN RETAIL A 2024</v>
          </cell>
          <cell r="I599" t="str">
            <v>Completed</v>
          </cell>
          <cell r="J599" t="str">
            <v>fernandez.r</v>
          </cell>
          <cell r="K599">
            <v>45473</v>
          </cell>
          <cell r="L599">
            <v>45565</v>
          </cell>
          <cell r="M599" t="str">
            <v>G1</v>
          </cell>
          <cell r="N599" t="str">
            <v>DIGITAL MEDIA</v>
          </cell>
          <cell r="O599" t="str">
            <v>A230</v>
          </cell>
          <cell r="P599" t="str">
            <v>SOCIAL ADS</v>
          </cell>
          <cell r="Q599" t="str">
            <v>2024</v>
          </cell>
          <cell r="R599" t="str">
            <v>FZX363</v>
          </cell>
          <cell r="S599" t="str">
            <v>Falabella Retail S.A.</v>
          </cell>
          <cell r="T599" t="str">
            <v/>
          </cell>
          <cell r="U599" t="str">
            <v>NO se ha usado</v>
          </cell>
        </row>
        <row r="600">
          <cell r="C600" t="str">
            <v>T24C850000806</v>
          </cell>
          <cell r="D600" t="str">
            <v>A24C850001111</v>
          </cell>
          <cell r="E600">
            <v>8500000</v>
          </cell>
          <cell r="F600">
            <v>4000000</v>
          </cell>
          <cell r="G600" t="str">
            <v>Mobile Phone</v>
          </cell>
          <cell r="H600" t="str">
            <v>[1]HHP AON BOOST CAMPAIGN RETAIL A JUNE</v>
          </cell>
          <cell r="I600" t="str">
            <v>Completed</v>
          </cell>
          <cell r="J600" t="str">
            <v>fernandez.r</v>
          </cell>
          <cell r="K600">
            <v>45473</v>
          </cell>
          <cell r="L600">
            <v>45565</v>
          </cell>
          <cell r="M600" t="str">
            <v>G1</v>
          </cell>
          <cell r="N600" t="str">
            <v>DIGITAL MEDIA</v>
          </cell>
          <cell r="O600" t="str">
            <v>A240</v>
          </cell>
          <cell r="P600" t="str">
            <v>SEARCH</v>
          </cell>
          <cell r="Q600" t="str">
            <v>2024</v>
          </cell>
          <cell r="R600" t="str">
            <v>FZX363</v>
          </cell>
          <cell r="S600" t="str">
            <v>Falabella Retail S.A.</v>
          </cell>
          <cell r="T600" t="str">
            <v/>
          </cell>
          <cell r="U600" t="str">
            <v>Remanente pedir factura</v>
          </cell>
        </row>
        <row r="601">
          <cell r="C601" t="str">
            <v>T24C850000806</v>
          </cell>
          <cell r="D601" t="str">
            <v>A24C850001111</v>
          </cell>
          <cell r="E601">
            <v>8500000</v>
          </cell>
          <cell r="F601">
            <v>0</v>
          </cell>
          <cell r="G601" t="str">
            <v>Mobile Phone</v>
          </cell>
          <cell r="H601" t="str">
            <v>[1]HHP AON BOOST CAMPAIGN RETAIL A JUNE</v>
          </cell>
          <cell r="I601" t="str">
            <v>Completed</v>
          </cell>
          <cell r="J601" t="str">
            <v>fernandez.r</v>
          </cell>
          <cell r="K601">
            <v>45473</v>
          </cell>
          <cell r="L601">
            <v>45565</v>
          </cell>
          <cell r="M601" t="str">
            <v>G1</v>
          </cell>
          <cell r="N601" t="str">
            <v>DIGITAL MEDIA</v>
          </cell>
          <cell r="O601" t="str">
            <v>A230</v>
          </cell>
          <cell r="P601" t="str">
            <v>SOCIAL ADS</v>
          </cell>
          <cell r="Q601" t="str">
            <v>2024</v>
          </cell>
          <cell r="R601" t="str">
            <v>FZX363</v>
          </cell>
          <cell r="S601" t="str">
            <v>Falabella Retail S.A.</v>
          </cell>
          <cell r="T601" t="str">
            <v/>
          </cell>
          <cell r="U601" t="str">
            <v>Remanente pedir factura</v>
          </cell>
        </row>
        <row r="602">
          <cell r="C602" t="str">
            <v>T24C850000865</v>
          </cell>
          <cell r="D602" t="str">
            <v>A24C850001153</v>
          </cell>
          <cell r="E602">
            <v>757295</v>
          </cell>
          <cell r="F602">
            <v>0</v>
          </cell>
          <cell r="G602" t="str">
            <v>Mobile Phone</v>
          </cell>
          <cell r="H602" t="str">
            <v>[1]HHP /R.FALCON/FALABELLA PARQUE ARAUCO FLAGSHIP MODULE-MX H2</v>
          </cell>
          <cell r="I602" t="str">
            <v>Completed</v>
          </cell>
          <cell r="J602" t="str">
            <v>y.malave</v>
          </cell>
          <cell r="K602">
            <v>45472</v>
          </cell>
          <cell r="L602">
            <v>45657</v>
          </cell>
          <cell r="M602" t="str">
            <v>G1</v>
          </cell>
          <cell r="N602" t="str">
            <v>RETAIL</v>
          </cell>
          <cell r="O602" t="str">
            <v>B120</v>
          </cell>
          <cell r="P602" t="str">
            <v>SHELF MERCHANDISING</v>
          </cell>
          <cell r="Q602" t="str">
            <v>2024</v>
          </cell>
          <cell r="R602" t="str">
            <v>FZX363</v>
          </cell>
          <cell r="S602" t="str">
            <v>Falabella Retail S.A.</v>
          </cell>
          <cell r="T602" t="str">
            <v/>
          </cell>
        </row>
        <row r="603">
          <cell r="C603" t="str">
            <v>T24C850000865</v>
          </cell>
          <cell r="D603" t="str">
            <v>A24C850001153</v>
          </cell>
          <cell r="E603">
            <v>757295</v>
          </cell>
          <cell r="F603">
            <v>0</v>
          </cell>
          <cell r="G603" t="str">
            <v>Mobile Phone</v>
          </cell>
          <cell r="H603" t="str">
            <v>[1]HHP /R.FALCON/FALABELLA PARQUE ARAUCO FLAGSHIP MODULE-MX H2</v>
          </cell>
          <cell r="I603" t="str">
            <v>Completed</v>
          </cell>
          <cell r="J603" t="str">
            <v>y.malave</v>
          </cell>
          <cell r="K603">
            <v>45472</v>
          </cell>
          <cell r="L603">
            <v>45657</v>
          </cell>
          <cell r="M603" t="str">
            <v>G1</v>
          </cell>
          <cell r="N603" t="str">
            <v>RETAIL</v>
          </cell>
          <cell r="O603" t="str">
            <v>B120</v>
          </cell>
          <cell r="P603" t="str">
            <v>SHELF MERCHANDISING</v>
          </cell>
          <cell r="Q603" t="str">
            <v>2024</v>
          </cell>
          <cell r="R603" t="str">
            <v>FZX363</v>
          </cell>
          <cell r="S603" t="str">
            <v>Falabella Retail S.A.</v>
          </cell>
          <cell r="T603" t="str">
            <v/>
          </cell>
        </row>
        <row r="604">
          <cell r="C604" t="str">
            <v>T24C850000865</v>
          </cell>
          <cell r="D604" t="str">
            <v>A24C850001153</v>
          </cell>
          <cell r="E604">
            <v>757295</v>
          </cell>
          <cell r="F604">
            <v>0</v>
          </cell>
          <cell r="G604" t="str">
            <v>Mobile Phone</v>
          </cell>
          <cell r="H604" t="str">
            <v>[1]HHP /R.FALCON/FALABELLA PARQUE ARAUCO FLAGSHIP MODULE-MX H2</v>
          </cell>
          <cell r="I604" t="str">
            <v>Completed</v>
          </cell>
          <cell r="J604" t="str">
            <v>y.malave</v>
          </cell>
          <cell r="K604">
            <v>45472</v>
          </cell>
          <cell r="L604">
            <v>45657</v>
          </cell>
          <cell r="M604" t="str">
            <v>G1</v>
          </cell>
          <cell r="N604" t="str">
            <v>RETAIL</v>
          </cell>
          <cell r="O604" t="str">
            <v>B120</v>
          </cell>
          <cell r="P604" t="str">
            <v>SHELF MERCHANDISING</v>
          </cell>
          <cell r="Q604" t="str">
            <v>2024</v>
          </cell>
          <cell r="R604" t="str">
            <v>FZX363</v>
          </cell>
          <cell r="S604" t="str">
            <v>Falabella Retail S.A.</v>
          </cell>
          <cell r="T604" t="str">
            <v/>
          </cell>
        </row>
        <row r="605">
          <cell r="C605" t="str">
            <v>T24C850000865</v>
          </cell>
          <cell r="D605" t="str">
            <v>A24C850001153</v>
          </cell>
          <cell r="E605">
            <v>757295</v>
          </cell>
          <cell r="F605">
            <v>0</v>
          </cell>
          <cell r="G605" t="str">
            <v>Mobile Phone</v>
          </cell>
          <cell r="H605" t="str">
            <v>[1]HHP /R.FALCON/FALABELLA PARQUE ARAUCO FLAGSHIP MODULE-MX H2</v>
          </cell>
          <cell r="I605" t="str">
            <v>Completed</v>
          </cell>
          <cell r="J605" t="str">
            <v>y.malave</v>
          </cell>
          <cell r="K605">
            <v>45472</v>
          </cell>
          <cell r="L605">
            <v>45657</v>
          </cell>
          <cell r="M605" t="str">
            <v>G1</v>
          </cell>
          <cell r="N605" t="str">
            <v>RETAIL</v>
          </cell>
          <cell r="O605" t="str">
            <v>B120</v>
          </cell>
          <cell r="P605" t="str">
            <v>SHELF MERCHANDISING</v>
          </cell>
          <cell r="Q605" t="str">
            <v>2024</v>
          </cell>
          <cell r="R605" t="str">
            <v>FZX363</v>
          </cell>
          <cell r="S605" t="str">
            <v>Falabella Retail S.A.</v>
          </cell>
          <cell r="T605" t="str">
            <v/>
          </cell>
        </row>
        <row r="606">
          <cell r="C606" t="str">
            <v>T24C850000865</v>
          </cell>
          <cell r="D606" t="str">
            <v>A24C850001153</v>
          </cell>
          <cell r="E606">
            <v>757295</v>
          </cell>
          <cell r="F606">
            <v>0</v>
          </cell>
          <cell r="G606" t="str">
            <v>Mobile Phone</v>
          </cell>
          <cell r="H606" t="str">
            <v>[1]HHP /R.FALCON/FALABELLA PARQUE ARAUCO FLAGSHIP MODULE-MX H2</v>
          </cell>
          <cell r="I606" t="str">
            <v>Completed</v>
          </cell>
          <cell r="J606" t="str">
            <v>y.malave</v>
          </cell>
          <cell r="K606">
            <v>45472</v>
          </cell>
          <cell r="L606">
            <v>45657</v>
          </cell>
          <cell r="M606" t="str">
            <v>G1</v>
          </cell>
          <cell r="N606" t="str">
            <v>RETAIL</v>
          </cell>
          <cell r="O606" t="str">
            <v>B120</v>
          </cell>
          <cell r="P606" t="str">
            <v>SHELF MERCHANDISING</v>
          </cell>
          <cell r="Q606" t="str">
            <v>2024</v>
          </cell>
          <cell r="R606" t="str">
            <v>FZX363</v>
          </cell>
          <cell r="S606" t="str">
            <v>Falabella Retail S.A.</v>
          </cell>
          <cell r="T606" t="str">
            <v/>
          </cell>
        </row>
        <row r="607">
          <cell r="C607" t="str">
            <v>T24C850000865</v>
          </cell>
          <cell r="D607" t="str">
            <v>A24C850001153</v>
          </cell>
          <cell r="E607">
            <v>757295</v>
          </cell>
          <cell r="F607">
            <v>0</v>
          </cell>
          <cell r="G607" t="str">
            <v>Mobile Phone</v>
          </cell>
          <cell r="H607" t="str">
            <v>[1]HHP /R.FALCON/FALABELLA PARQUE ARAUCO FLAGSHIP MODULE-MX H2</v>
          </cell>
          <cell r="I607" t="str">
            <v>Completed</v>
          </cell>
          <cell r="J607" t="str">
            <v>y.malave</v>
          </cell>
          <cell r="K607">
            <v>45472</v>
          </cell>
          <cell r="L607">
            <v>45657</v>
          </cell>
          <cell r="M607" t="str">
            <v>G1</v>
          </cell>
          <cell r="N607" t="str">
            <v>RETAIL</v>
          </cell>
          <cell r="O607" t="str">
            <v>B120</v>
          </cell>
          <cell r="P607" t="str">
            <v>SHELF MERCHANDISING</v>
          </cell>
          <cell r="Q607" t="str">
            <v>2024</v>
          </cell>
          <cell r="R607" t="str">
            <v>FZX363</v>
          </cell>
          <cell r="S607" t="str">
            <v>Falabella Retail S.A.</v>
          </cell>
          <cell r="T607" t="str">
            <v/>
          </cell>
        </row>
        <row r="608">
          <cell r="C608" t="str">
            <v>T24C850000865</v>
          </cell>
          <cell r="D608" t="str">
            <v>A24C850001153</v>
          </cell>
          <cell r="E608">
            <v>757295</v>
          </cell>
          <cell r="F608">
            <v>0</v>
          </cell>
          <cell r="G608" t="str">
            <v>Mobile Phone</v>
          </cell>
          <cell r="H608" t="str">
            <v>[1]HHP /R.FALCON/FALABELLA PARQUE ARAUCO FLAGSHIP MODULE-MX H2</v>
          </cell>
          <cell r="I608" t="str">
            <v>Completed</v>
          </cell>
          <cell r="J608" t="str">
            <v>y.malave</v>
          </cell>
          <cell r="K608">
            <v>45472</v>
          </cell>
          <cell r="L608">
            <v>45657</v>
          </cell>
          <cell r="M608" t="str">
            <v>G1</v>
          </cell>
          <cell r="N608" t="str">
            <v>RETAIL</v>
          </cell>
          <cell r="O608" t="str">
            <v>B120</v>
          </cell>
          <cell r="P608" t="str">
            <v>SHELF MERCHANDISING</v>
          </cell>
          <cell r="Q608" t="str">
            <v>2024</v>
          </cell>
          <cell r="R608" t="str">
            <v>FZX363</v>
          </cell>
          <cell r="S608" t="str">
            <v>Falabella Retail S.A.</v>
          </cell>
          <cell r="T608" t="str">
            <v/>
          </cell>
        </row>
        <row r="609">
          <cell r="C609" t="str">
            <v>T24C850000871</v>
          </cell>
          <cell r="D609" t="str">
            <v>A24C850001147</v>
          </cell>
          <cell r="E609">
            <v>4500000</v>
          </cell>
          <cell r="F609">
            <v>4500000</v>
          </cell>
          <cell r="G609" t="str">
            <v>Mobile Phone</v>
          </cell>
          <cell r="H609" t="str">
            <v>[1]HHP - AON CAMPAIGN - JULY - FALABELLA</v>
          </cell>
          <cell r="I609" t="str">
            <v>Completed</v>
          </cell>
          <cell r="J609" t="str">
            <v>fernandez.r</v>
          </cell>
          <cell r="K609">
            <v>45485</v>
          </cell>
          <cell r="L609">
            <v>45565</v>
          </cell>
          <cell r="M609" t="str">
            <v>G1</v>
          </cell>
          <cell r="N609" t="str">
            <v>DIGITAL MEDIA</v>
          </cell>
          <cell r="O609" t="str">
            <v>A250</v>
          </cell>
          <cell r="P609" t="str">
            <v>DISPLAY</v>
          </cell>
          <cell r="Q609" t="str">
            <v>2024</v>
          </cell>
          <cell r="R609" t="str">
            <v>FZX363</v>
          </cell>
          <cell r="S609" t="str">
            <v>Falabella Retail S.A.</v>
          </cell>
          <cell r="T609" t="str">
            <v/>
          </cell>
          <cell r="U609" t="str">
            <v>Remanente pedir factura</v>
          </cell>
        </row>
        <row r="610">
          <cell r="C610" t="str">
            <v>T24C850000871</v>
          </cell>
          <cell r="D610" t="str">
            <v>A24C850001147</v>
          </cell>
          <cell r="E610">
            <v>10000000</v>
          </cell>
          <cell r="F610">
            <v>10000000</v>
          </cell>
          <cell r="G610" t="str">
            <v>Mobile Phone</v>
          </cell>
          <cell r="H610" t="str">
            <v>[1]HHP - AON CAMPAIGN - JULY - FALABELLA</v>
          </cell>
          <cell r="I610" t="str">
            <v>Completed</v>
          </cell>
          <cell r="J610" t="str">
            <v>fernandez.r</v>
          </cell>
          <cell r="K610">
            <v>45485</v>
          </cell>
          <cell r="L610">
            <v>45565</v>
          </cell>
          <cell r="M610" t="str">
            <v>G1</v>
          </cell>
          <cell r="N610" t="str">
            <v>DIGITAL MEDIA</v>
          </cell>
          <cell r="O610" t="str">
            <v>A240</v>
          </cell>
          <cell r="P610" t="str">
            <v>SEARCH</v>
          </cell>
          <cell r="Q610" t="str">
            <v>2024</v>
          </cell>
          <cell r="R610" t="str">
            <v>FZX363</v>
          </cell>
          <cell r="S610" t="str">
            <v>Falabella Retail S.A.</v>
          </cell>
          <cell r="T610" t="str">
            <v/>
          </cell>
          <cell r="U610" t="str">
            <v>Remanente pedir factura</v>
          </cell>
        </row>
        <row r="611">
          <cell r="C611" t="str">
            <v>T24C850000881</v>
          </cell>
          <cell r="D611" t="str">
            <v>A24C850001163</v>
          </cell>
          <cell r="E611">
            <v>3000000</v>
          </cell>
          <cell r="F611">
            <v>3000000</v>
          </cell>
          <cell r="G611" t="str">
            <v>Mobile Phone</v>
          </cell>
          <cell r="H611" t="str">
            <v>[1]TAB - AON CAMPAIGN - JULY - FALABELLA</v>
          </cell>
          <cell r="I611" t="str">
            <v>Completed</v>
          </cell>
          <cell r="J611" t="str">
            <v>fernandez.r</v>
          </cell>
          <cell r="K611">
            <v>45485</v>
          </cell>
          <cell r="L611">
            <v>45565</v>
          </cell>
          <cell r="M611" t="str">
            <v>G1</v>
          </cell>
          <cell r="N611" t="str">
            <v>DIGITAL MEDIA</v>
          </cell>
          <cell r="O611" t="str">
            <v>A250</v>
          </cell>
          <cell r="P611" t="str">
            <v>DISPLAY</v>
          </cell>
          <cell r="Q611" t="str">
            <v>2024</v>
          </cell>
          <cell r="R611" t="str">
            <v>FZX363</v>
          </cell>
          <cell r="S611" t="str">
            <v>Falabella Retail S.A.</v>
          </cell>
          <cell r="T611" t="str">
            <v/>
          </cell>
          <cell r="U611" t="str">
            <v>Remanente pedir factura</v>
          </cell>
        </row>
        <row r="612">
          <cell r="C612" t="str">
            <v>T24C850000881</v>
          </cell>
          <cell r="D612" t="str">
            <v>A24C850001163</v>
          </cell>
          <cell r="E612">
            <v>6000000</v>
          </cell>
          <cell r="F612">
            <v>6000000</v>
          </cell>
          <cell r="G612" t="str">
            <v>Mobile Phone</v>
          </cell>
          <cell r="H612" t="str">
            <v>[1]TAB - AON CAMPAIGN - JULY - FALABELLA</v>
          </cell>
          <cell r="I612" t="str">
            <v>Completed</v>
          </cell>
          <cell r="J612" t="str">
            <v>fernandez.r</v>
          </cell>
          <cell r="K612">
            <v>45485</v>
          </cell>
          <cell r="L612">
            <v>45565</v>
          </cell>
          <cell r="M612" t="str">
            <v>G1</v>
          </cell>
          <cell r="N612" t="str">
            <v>DIGITAL MEDIA</v>
          </cell>
          <cell r="O612" t="str">
            <v>A240</v>
          </cell>
          <cell r="P612" t="str">
            <v>SEARCH</v>
          </cell>
          <cell r="Q612" t="str">
            <v>2024</v>
          </cell>
          <cell r="R612" t="str">
            <v>FZX363</v>
          </cell>
          <cell r="S612" t="str">
            <v>Falabella Retail S.A.</v>
          </cell>
          <cell r="T612" t="str">
            <v/>
          </cell>
          <cell r="U612" t="str">
            <v>Remanente pedir factura</v>
          </cell>
        </row>
        <row r="613">
          <cell r="C613" t="str">
            <v>T24C850000883</v>
          </cell>
          <cell r="D613" t="str">
            <v>A24C850001169</v>
          </cell>
          <cell r="E613">
            <v>6000000</v>
          </cell>
          <cell r="F613">
            <v>6000000</v>
          </cell>
          <cell r="G613" t="str">
            <v>Mobile Phone</v>
          </cell>
          <cell r="H613" t="str">
            <v>[1]WATCH7 LAUNCH CAMPAIGN - JULY - FALABELLA</v>
          </cell>
          <cell r="I613" t="str">
            <v>Completed</v>
          </cell>
          <cell r="J613" t="str">
            <v>fernandez.r</v>
          </cell>
          <cell r="K613">
            <v>45485</v>
          </cell>
          <cell r="L613">
            <v>45565</v>
          </cell>
          <cell r="M613" t="str">
            <v>G1</v>
          </cell>
          <cell r="N613" t="str">
            <v>DIGITAL MEDIA</v>
          </cell>
          <cell r="O613" t="str">
            <v>A240</v>
          </cell>
          <cell r="P613" t="str">
            <v>SEARCH</v>
          </cell>
          <cell r="Q613" t="str">
            <v>2024</v>
          </cell>
          <cell r="R613" t="str">
            <v>FZX363</v>
          </cell>
          <cell r="S613" t="str">
            <v>Falabella Retail S.A.</v>
          </cell>
          <cell r="T613" t="str">
            <v/>
          </cell>
          <cell r="U613" t="str">
            <v>Remanente pedir factura</v>
          </cell>
        </row>
        <row r="614">
          <cell r="C614" t="str">
            <v>T24C850000883</v>
          </cell>
          <cell r="D614" t="str">
            <v>A24C850001169</v>
          </cell>
          <cell r="E614">
            <v>4000000</v>
          </cell>
          <cell r="F614">
            <v>4000000</v>
          </cell>
          <cell r="G614" t="str">
            <v>Mobile Phone</v>
          </cell>
          <cell r="H614" t="str">
            <v>[1]WATCH7 LAUNCH CAMPAIGN - JULY - FALABELLA</v>
          </cell>
          <cell r="I614" t="str">
            <v>Completed</v>
          </cell>
          <cell r="J614" t="str">
            <v>fernandez.r</v>
          </cell>
          <cell r="K614">
            <v>45485</v>
          </cell>
          <cell r="L614">
            <v>45565</v>
          </cell>
          <cell r="M614" t="str">
            <v>G1</v>
          </cell>
          <cell r="N614" t="str">
            <v>DIGITAL MEDIA</v>
          </cell>
          <cell r="O614" t="str">
            <v>A250</v>
          </cell>
          <cell r="P614" t="str">
            <v>DISPLAY</v>
          </cell>
          <cell r="Q614" t="str">
            <v>2024</v>
          </cell>
          <cell r="R614" t="str">
            <v>FZX363</v>
          </cell>
          <cell r="S614" t="str">
            <v>Falabella Retail S.A.</v>
          </cell>
          <cell r="T614" t="str">
            <v/>
          </cell>
          <cell r="U614" t="str">
            <v>Remanente pedir factura</v>
          </cell>
        </row>
        <row r="615">
          <cell r="C615" t="str">
            <v>T24C850000926</v>
          </cell>
          <cell r="D615" t="str">
            <v>A24C850001252</v>
          </cell>
          <cell r="E615">
            <v>3000000</v>
          </cell>
          <cell r="F615">
            <v>0</v>
          </cell>
          <cell r="G615" t="str">
            <v>Computer</v>
          </cell>
          <cell r="H615" t="str">
            <v>[1]NPC - FALABELLA - COMARKETING</v>
          </cell>
          <cell r="I615" t="str">
            <v>Completed</v>
          </cell>
          <cell r="J615" t="str">
            <v>m.lavanchy</v>
          </cell>
          <cell r="K615">
            <v>45504</v>
          </cell>
          <cell r="L615">
            <v>45657</v>
          </cell>
          <cell r="M615" t="str">
            <v>C3</v>
          </cell>
          <cell r="N615" t="str">
            <v>DIGITAL MEDIA</v>
          </cell>
          <cell r="O615" t="str">
            <v>A240</v>
          </cell>
          <cell r="P615" t="str">
            <v>SEARCH</v>
          </cell>
          <cell r="Q615" t="str">
            <v>2024</v>
          </cell>
          <cell r="R615" t="str">
            <v>FZX363</v>
          </cell>
          <cell r="S615" t="str">
            <v>Falabella Retail S.A.</v>
          </cell>
          <cell r="T615" t="str">
            <v/>
          </cell>
        </row>
        <row r="616">
          <cell r="C616" t="str">
            <v>T24C850000926</v>
          </cell>
          <cell r="D616" t="str">
            <v>A24C850001252</v>
          </cell>
          <cell r="E616">
            <v>10000000</v>
          </cell>
          <cell r="F616">
            <v>0</v>
          </cell>
          <cell r="G616" t="str">
            <v>Computer</v>
          </cell>
          <cell r="H616" t="str">
            <v>[1]NPC - FALABELLA - COMARKETING</v>
          </cell>
          <cell r="I616" t="str">
            <v>Completed</v>
          </cell>
          <cell r="J616" t="str">
            <v>m.lavanchy</v>
          </cell>
          <cell r="K616">
            <v>45504</v>
          </cell>
          <cell r="L616">
            <v>45657</v>
          </cell>
          <cell r="M616" t="str">
            <v>C3</v>
          </cell>
          <cell r="N616" t="str">
            <v>DIGITAL MEDIA</v>
          </cell>
          <cell r="O616" t="str">
            <v>A240</v>
          </cell>
          <cell r="P616" t="str">
            <v>SEARCH</v>
          </cell>
          <cell r="Q616" t="str">
            <v>2024</v>
          </cell>
          <cell r="R616" t="str">
            <v>FZX363</v>
          </cell>
          <cell r="S616" t="str">
            <v>Falabella Retail S.A.</v>
          </cell>
          <cell r="T616" t="str">
            <v/>
          </cell>
        </row>
        <row r="617">
          <cell r="C617" t="str">
            <v>T24C850000926</v>
          </cell>
          <cell r="D617" t="str">
            <v>A24C850001252</v>
          </cell>
          <cell r="E617">
            <v>6396000</v>
          </cell>
          <cell r="F617">
            <v>0</v>
          </cell>
          <cell r="G617" t="str">
            <v>Computer</v>
          </cell>
          <cell r="H617" t="str">
            <v>[1]NPC - FALABELLA - COMARKETING</v>
          </cell>
          <cell r="I617" t="str">
            <v>Completed</v>
          </cell>
          <cell r="J617" t="str">
            <v>m.lavanchy</v>
          </cell>
          <cell r="K617">
            <v>45504</v>
          </cell>
          <cell r="L617">
            <v>45657</v>
          </cell>
          <cell r="M617" t="str">
            <v>C3</v>
          </cell>
          <cell r="N617" t="str">
            <v>DIGITAL MEDIA</v>
          </cell>
          <cell r="O617" t="str">
            <v>A240</v>
          </cell>
          <cell r="P617" t="str">
            <v>SEARCH</v>
          </cell>
          <cell r="Q617" t="str">
            <v>2024</v>
          </cell>
          <cell r="R617" t="str">
            <v>FZX363</v>
          </cell>
          <cell r="S617" t="str">
            <v>Falabella Retail S.A.</v>
          </cell>
          <cell r="T617" t="str">
            <v/>
          </cell>
        </row>
        <row r="618">
          <cell r="C618" t="str">
            <v>T24C850000926</v>
          </cell>
          <cell r="D618" t="str">
            <v>A24C850001252</v>
          </cell>
          <cell r="E618">
            <v>14000000</v>
          </cell>
          <cell r="F618">
            <v>0</v>
          </cell>
          <cell r="G618" t="str">
            <v>Computer</v>
          </cell>
          <cell r="H618" t="str">
            <v>[1]NPC - FALABELLA - COMARKETING</v>
          </cell>
          <cell r="I618" t="str">
            <v>Completed</v>
          </cell>
          <cell r="J618" t="str">
            <v>m.lavanchy</v>
          </cell>
          <cell r="K618">
            <v>45504</v>
          </cell>
          <cell r="L618">
            <v>45657</v>
          </cell>
          <cell r="M618" t="str">
            <v>C3</v>
          </cell>
          <cell r="N618" t="str">
            <v>DIGITAL MEDIA</v>
          </cell>
          <cell r="O618" t="str">
            <v>A240</v>
          </cell>
          <cell r="P618" t="str">
            <v>SEARCH</v>
          </cell>
          <cell r="Q618" t="str">
            <v>2024</v>
          </cell>
          <cell r="R618" t="str">
            <v>FZX363</v>
          </cell>
          <cell r="S618" t="str">
            <v>Falabella Retail S.A.</v>
          </cell>
          <cell r="T618" t="str">
            <v/>
          </cell>
        </row>
        <row r="619">
          <cell r="C619" t="str">
            <v>T24C850000926</v>
          </cell>
          <cell r="D619" t="str">
            <v>A24C850001252</v>
          </cell>
          <cell r="E619">
            <v>14000000</v>
          </cell>
          <cell r="F619">
            <v>0</v>
          </cell>
          <cell r="G619" t="str">
            <v>Computer</v>
          </cell>
          <cell r="H619" t="str">
            <v>[1]NPC - FALABELLA - COMARKETING</v>
          </cell>
          <cell r="I619" t="str">
            <v>Completed</v>
          </cell>
          <cell r="J619" t="str">
            <v>m.lavanchy</v>
          </cell>
          <cell r="K619">
            <v>45504</v>
          </cell>
          <cell r="L619">
            <v>45657</v>
          </cell>
          <cell r="M619" t="str">
            <v>C3</v>
          </cell>
          <cell r="N619" t="str">
            <v>DIGITAL MEDIA</v>
          </cell>
          <cell r="O619" t="str">
            <v>A240</v>
          </cell>
          <cell r="P619" t="str">
            <v>SEARCH</v>
          </cell>
          <cell r="Q619" t="str">
            <v>2024</v>
          </cell>
          <cell r="R619" t="str">
            <v>FZX363</v>
          </cell>
          <cell r="S619" t="str">
            <v>Falabella Retail S.A.</v>
          </cell>
          <cell r="T619" t="str">
            <v/>
          </cell>
        </row>
        <row r="620">
          <cell r="C620" t="str">
            <v>T24C850000926</v>
          </cell>
          <cell r="D620" t="str">
            <v>A24C850001252</v>
          </cell>
          <cell r="E620">
            <v>16000000</v>
          </cell>
          <cell r="F620">
            <v>0</v>
          </cell>
          <cell r="G620" t="str">
            <v>Computer</v>
          </cell>
          <cell r="H620" t="str">
            <v>[1]NPC - FALABELLA - COMARKETING</v>
          </cell>
          <cell r="I620" t="str">
            <v>Completed</v>
          </cell>
          <cell r="J620" t="str">
            <v>m.lavanchy</v>
          </cell>
          <cell r="K620">
            <v>45504</v>
          </cell>
          <cell r="L620">
            <v>45657</v>
          </cell>
          <cell r="M620" t="str">
            <v>C3</v>
          </cell>
          <cell r="N620" t="str">
            <v>DIGITAL MEDIA</v>
          </cell>
          <cell r="O620" t="str">
            <v>A240</v>
          </cell>
          <cell r="P620" t="str">
            <v>SEARCH</v>
          </cell>
          <cell r="Q620" t="str">
            <v>2024</v>
          </cell>
          <cell r="R620" t="str">
            <v>FZX363</v>
          </cell>
          <cell r="S620" t="str">
            <v>Falabella Retail S.A.</v>
          </cell>
          <cell r="T620" t="str">
            <v/>
          </cell>
        </row>
        <row r="621">
          <cell r="C621" t="str">
            <v>T24C850000926</v>
          </cell>
          <cell r="D621" t="str">
            <v>A24C850001252</v>
          </cell>
          <cell r="E621">
            <v>17000000</v>
          </cell>
          <cell r="F621">
            <v>0</v>
          </cell>
          <cell r="G621" t="str">
            <v>Computer</v>
          </cell>
          <cell r="H621" t="str">
            <v>[1]NPC - FALABELLA - COMARKETING</v>
          </cell>
          <cell r="I621" t="str">
            <v>Completed</v>
          </cell>
          <cell r="J621" t="str">
            <v>m.lavanchy</v>
          </cell>
          <cell r="K621">
            <v>45504</v>
          </cell>
          <cell r="L621">
            <v>45657</v>
          </cell>
          <cell r="M621" t="str">
            <v>C3</v>
          </cell>
          <cell r="N621" t="str">
            <v>DIGITAL MEDIA</v>
          </cell>
          <cell r="O621" t="str">
            <v>A250</v>
          </cell>
          <cell r="P621" t="str">
            <v>DISPLAY</v>
          </cell>
          <cell r="Q621" t="str">
            <v>2024</v>
          </cell>
          <cell r="R621" t="str">
            <v>FZX363</v>
          </cell>
          <cell r="S621" t="str">
            <v>Falabella Retail S.A.</v>
          </cell>
          <cell r="T621" t="str">
            <v/>
          </cell>
        </row>
        <row r="622">
          <cell r="C622" t="str">
            <v>T24C850000926</v>
          </cell>
          <cell r="D622" t="str">
            <v>A24C850001252</v>
          </cell>
          <cell r="E622">
            <v>3000000</v>
          </cell>
          <cell r="F622">
            <v>0</v>
          </cell>
          <cell r="G622" t="str">
            <v>Computer</v>
          </cell>
          <cell r="H622" t="str">
            <v>[1]NPC - FALABELLA - COMARKETING</v>
          </cell>
          <cell r="I622" t="str">
            <v>Completed</v>
          </cell>
          <cell r="J622" t="str">
            <v>m.lavanchy</v>
          </cell>
          <cell r="K622">
            <v>45504</v>
          </cell>
          <cell r="L622">
            <v>45657</v>
          </cell>
          <cell r="M622" t="str">
            <v>C3</v>
          </cell>
          <cell r="N622" t="str">
            <v>DIGITAL MEDIA</v>
          </cell>
          <cell r="O622" t="str">
            <v>A250</v>
          </cell>
          <cell r="P622" t="str">
            <v>DISPLAY</v>
          </cell>
          <cell r="Q622" t="str">
            <v>2024</v>
          </cell>
          <cell r="R622" t="str">
            <v>FZX363</v>
          </cell>
          <cell r="S622" t="str">
            <v>Falabella Retail S.A.</v>
          </cell>
          <cell r="T622" t="str">
            <v/>
          </cell>
        </row>
        <row r="623">
          <cell r="C623" t="str">
            <v>T24C850000926</v>
          </cell>
          <cell r="D623" t="str">
            <v>A24C850001252</v>
          </cell>
          <cell r="E623">
            <v>14000000</v>
          </cell>
          <cell r="F623">
            <v>0</v>
          </cell>
          <cell r="G623" t="str">
            <v>Computer</v>
          </cell>
          <cell r="H623" t="str">
            <v>[1]NPC - FALABELLA - COMARKETING</v>
          </cell>
          <cell r="I623" t="str">
            <v>Completed</v>
          </cell>
          <cell r="J623" t="str">
            <v>m.lavanchy</v>
          </cell>
          <cell r="K623">
            <v>45504</v>
          </cell>
          <cell r="L623">
            <v>45657</v>
          </cell>
          <cell r="M623" t="str">
            <v>C3</v>
          </cell>
          <cell r="N623" t="str">
            <v>DIGITAL MEDIA</v>
          </cell>
          <cell r="O623" t="str">
            <v>A250</v>
          </cell>
          <cell r="P623" t="str">
            <v>DISPLAY</v>
          </cell>
          <cell r="Q623" t="str">
            <v>2024</v>
          </cell>
          <cell r="R623" t="str">
            <v>FZX363</v>
          </cell>
          <cell r="S623" t="str">
            <v>Falabella Retail S.A.</v>
          </cell>
          <cell r="T623" t="str">
            <v/>
          </cell>
        </row>
        <row r="624">
          <cell r="C624" t="str">
            <v>T24C850000926</v>
          </cell>
          <cell r="D624" t="str">
            <v>A24C850001252</v>
          </cell>
          <cell r="E624">
            <v>14000000</v>
          </cell>
          <cell r="F624">
            <v>0</v>
          </cell>
          <cell r="G624" t="str">
            <v>Computer</v>
          </cell>
          <cell r="H624" t="str">
            <v>[1]NPC - FALABELLA - COMARKETING</v>
          </cell>
          <cell r="I624" t="str">
            <v>Completed</v>
          </cell>
          <cell r="J624" t="str">
            <v>m.lavanchy</v>
          </cell>
          <cell r="K624">
            <v>45504</v>
          </cell>
          <cell r="L624">
            <v>45657</v>
          </cell>
          <cell r="M624" t="str">
            <v>C3</v>
          </cell>
          <cell r="N624" t="str">
            <v>DIGITAL MEDIA</v>
          </cell>
          <cell r="O624" t="str">
            <v>A250</v>
          </cell>
          <cell r="P624" t="str">
            <v>DISPLAY</v>
          </cell>
          <cell r="Q624" t="str">
            <v>2024</v>
          </cell>
          <cell r="R624" t="str">
            <v>FZX363</v>
          </cell>
          <cell r="S624" t="str">
            <v>Falabella Retail S.A.</v>
          </cell>
          <cell r="T624" t="str">
            <v/>
          </cell>
        </row>
        <row r="625">
          <cell r="C625" t="str">
            <v>T24C850000926</v>
          </cell>
          <cell r="D625" t="str">
            <v>A24C850001252</v>
          </cell>
          <cell r="E625">
            <v>12000000</v>
          </cell>
          <cell r="F625">
            <v>0</v>
          </cell>
          <cell r="G625" t="str">
            <v>Computer</v>
          </cell>
          <cell r="H625" t="str">
            <v>[1]NPC - FALABELLA - COMARKETING</v>
          </cell>
          <cell r="I625" t="str">
            <v>Completed</v>
          </cell>
          <cell r="J625" t="str">
            <v>m.lavanchy</v>
          </cell>
          <cell r="K625">
            <v>45504</v>
          </cell>
          <cell r="L625">
            <v>45657</v>
          </cell>
          <cell r="M625" t="str">
            <v>C3</v>
          </cell>
          <cell r="N625" t="str">
            <v>DIGITAL MEDIA</v>
          </cell>
          <cell r="O625" t="str">
            <v>A250</v>
          </cell>
          <cell r="P625" t="str">
            <v>DISPLAY</v>
          </cell>
          <cell r="Q625" t="str">
            <v>2024</v>
          </cell>
          <cell r="R625" t="str">
            <v>FZX363</v>
          </cell>
          <cell r="S625" t="str">
            <v>Falabella Retail S.A.</v>
          </cell>
          <cell r="T625" t="str">
            <v/>
          </cell>
        </row>
        <row r="626">
          <cell r="C626" t="str">
            <v>T24C850000926</v>
          </cell>
          <cell r="D626" t="str">
            <v>A24C850001252</v>
          </cell>
          <cell r="E626">
            <v>3000000</v>
          </cell>
          <cell r="F626">
            <v>0</v>
          </cell>
          <cell r="G626" t="str">
            <v>Computer</v>
          </cell>
          <cell r="H626" t="str">
            <v>[1]NPC - FALABELLA - COMARKETING</v>
          </cell>
          <cell r="I626" t="str">
            <v>Completed</v>
          </cell>
          <cell r="J626" t="str">
            <v>m.lavanchy</v>
          </cell>
          <cell r="K626">
            <v>45504</v>
          </cell>
          <cell r="L626">
            <v>45657</v>
          </cell>
          <cell r="M626" t="str">
            <v>C3</v>
          </cell>
          <cell r="N626" t="str">
            <v>DIGITAL MEDIA</v>
          </cell>
          <cell r="O626" t="str">
            <v>A230</v>
          </cell>
          <cell r="P626" t="str">
            <v>SOCIAL ADS</v>
          </cell>
          <cell r="Q626" t="str">
            <v>2024</v>
          </cell>
          <cell r="R626" t="str">
            <v>FZX363</v>
          </cell>
          <cell r="S626" t="str">
            <v>Falabella Retail S.A.</v>
          </cell>
          <cell r="T626" t="str">
            <v/>
          </cell>
        </row>
        <row r="627">
          <cell r="C627" t="str">
            <v>T24C850000926</v>
          </cell>
          <cell r="D627" t="str">
            <v>A24C850001252</v>
          </cell>
          <cell r="E627">
            <v>4000000</v>
          </cell>
          <cell r="F627">
            <v>0</v>
          </cell>
          <cell r="G627" t="str">
            <v>Computer</v>
          </cell>
          <cell r="H627" t="str">
            <v>[1]NPC - FALABELLA - COMARKETING</v>
          </cell>
          <cell r="I627" t="str">
            <v>Completed</v>
          </cell>
          <cell r="J627" t="str">
            <v>m.lavanchy</v>
          </cell>
          <cell r="K627">
            <v>45504</v>
          </cell>
          <cell r="L627">
            <v>45657</v>
          </cell>
          <cell r="M627" t="str">
            <v>C3</v>
          </cell>
          <cell r="N627" t="str">
            <v>DIGITAL MEDIA</v>
          </cell>
          <cell r="O627" t="str">
            <v>A230</v>
          </cell>
          <cell r="P627" t="str">
            <v>SOCIAL ADS</v>
          </cell>
          <cell r="Q627" t="str">
            <v>2024</v>
          </cell>
          <cell r="R627" t="str">
            <v>FZX363</v>
          </cell>
          <cell r="S627" t="str">
            <v>Falabella Retail S.A.</v>
          </cell>
          <cell r="T627" t="str">
            <v/>
          </cell>
        </row>
        <row r="628">
          <cell r="C628" t="str">
            <v>T24C850000926</v>
          </cell>
          <cell r="D628" t="str">
            <v>A24C850001252</v>
          </cell>
          <cell r="E628">
            <v>4000000</v>
          </cell>
          <cell r="F628">
            <v>0</v>
          </cell>
          <cell r="G628" t="str">
            <v>Computer</v>
          </cell>
          <cell r="H628" t="str">
            <v>[1]NPC - FALABELLA - COMARKETING</v>
          </cell>
          <cell r="I628" t="str">
            <v>Completed</v>
          </cell>
          <cell r="J628" t="str">
            <v>m.lavanchy</v>
          </cell>
          <cell r="K628">
            <v>45504</v>
          </cell>
          <cell r="L628">
            <v>45657</v>
          </cell>
          <cell r="M628" t="str">
            <v>C3</v>
          </cell>
          <cell r="N628" t="str">
            <v>DIGITAL MEDIA</v>
          </cell>
          <cell r="O628" t="str">
            <v>A230</v>
          </cell>
          <cell r="P628" t="str">
            <v>SOCIAL ADS</v>
          </cell>
          <cell r="Q628" t="str">
            <v>2024</v>
          </cell>
          <cell r="R628" t="str">
            <v>FZX363</v>
          </cell>
          <cell r="S628" t="str">
            <v>Falabella Retail S.A.</v>
          </cell>
          <cell r="T628" t="str">
            <v/>
          </cell>
        </row>
        <row r="629">
          <cell r="C629" t="str">
            <v>T24C850000926</v>
          </cell>
          <cell r="D629" t="str">
            <v>A24C850001252</v>
          </cell>
          <cell r="E629">
            <v>4000000</v>
          </cell>
          <cell r="F629">
            <v>0</v>
          </cell>
          <cell r="G629" t="str">
            <v>Computer</v>
          </cell>
          <cell r="H629" t="str">
            <v>[1]NPC - FALABELLA - COMARKETING</v>
          </cell>
          <cell r="I629" t="str">
            <v>Completed</v>
          </cell>
          <cell r="J629" t="str">
            <v>m.lavanchy</v>
          </cell>
          <cell r="K629">
            <v>45504</v>
          </cell>
          <cell r="L629">
            <v>45657</v>
          </cell>
          <cell r="M629" t="str">
            <v>C3</v>
          </cell>
          <cell r="N629" t="str">
            <v>DIGITAL MEDIA</v>
          </cell>
          <cell r="O629" t="str">
            <v>A230</v>
          </cell>
          <cell r="P629" t="str">
            <v>SOCIAL ADS</v>
          </cell>
          <cell r="Q629" t="str">
            <v>2024</v>
          </cell>
          <cell r="R629" t="str">
            <v>FZX363</v>
          </cell>
          <cell r="S629" t="str">
            <v>Falabella Retail S.A.</v>
          </cell>
          <cell r="T629" t="str">
            <v/>
          </cell>
        </row>
        <row r="630">
          <cell r="C630" t="str">
            <v>T24C850000926</v>
          </cell>
          <cell r="D630" t="str">
            <v>A24C850001252</v>
          </cell>
          <cell r="E630">
            <v>4000000</v>
          </cell>
          <cell r="F630">
            <v>0</v>
          </cell>
          <cell r="G630" t="str">
            <v>Computer</v>
          </cell>
          <cell r="H630" t="str">
            <v>[1]NPC - FALABELLA - COMARKETING</v>
          </cell>
          <cell r="I630" t="str">
            <v>Completed</v>
          </cell>
          <cell r="J630" t="str">
            <v>m.lavanchy</v>
          </cell>
          <cell r="K630">
            <v>45504</v>
          </cell>
          <cell r="L630">
            <v>45657</v>
          </cell>
          <cell r="M630" t="str">
            <v>C3</v>
          </cell>
          <cell r="N630" t="str">
            <v>DIGITAL MEDIA</v>
          </cell>
          <cell r="O630" t="str">
            <v>A230</v>
          </cell>
          <cell r="P630" t="str">
            <v>SOCIAL ADS</v>
          </cell>
          <cell r="Q630" t="str">
            <v>2024</v>
          </cell>
          <cell r="R630" t="str">
            <v>FZX363</v>
          </cell>
          <cell r="S630" t="str">
            <v>Falabella Retail S.A.</v>
          </cell>
          <cell r="T630" t="str">
            <v/>
          </cell>
        </row>
        <row r="631">
          <cell r="C631" t="str">
            <v>T24C850000943</v>
          </cell>
          <cell r="D631" t="str">
            <v>A24C850001263</v>
          </cell>
          <cell r="E631">
            <v>3000000</v>
          </cell>
          <cell r="F631">
            <v>3000000</v>
          </cell>
          <cell r="G631" t="str">
            <v>Mobile Phone</v>
          </cell>
          <cell r="H631" t="str">
            <v>[1]TAB - AON CAMPAIGN - AUGUST - SEPTEMBER FALABELLA</v>
          </cell>
          <cell r="I631" t="str">
            <v>Completed</v>
          </cell>
          <cell r="J631" t="str">
            <v>sjara.mella</v>
          </cell>
          <cell r="K631">
            <v>45513</v>
          </cell>
          <cell r="L631">
            <v>45626</v>
          </cell>
          <cell r="M631" t="str">
            <v>G1</v>
          </cell>
          <cell r="N631" t="str">
            <v>DIGITAL MEDIA</v>
          </cell>
          <cell r="O631" t="str">
            <v>A250</v>
          </cell>
          <cell r="P631" t="str">
            <v>DISPLAY</v>
          </cell>
          <cell r="Q631" t="str">
            <v>2024</v>
          </cell>
          <cell r="R631" t="str">
            <v>FZX363</v>
          </cell>
          <cell r="S631" t="str">
            <v>Falabella Retail S.A.</v>
          </cell>
          <cell r="T631" t="str">
            <v/>
          </cell>
          <cell r="U631" t="str">
            <v>Remanente pedir factura</v>
          </cell>
        </row>
        <row r="632">
          <cell r="C632" t="str">
            <v>T24C850000943</v>
          </cell>
          <cell r="D632" t="str">
            <v>A24C850001263</v>
          </cell>
          <cell r="E632">
            <v>6198000</v>
          </cell>
          <cell r="F632">
            <v>6198000</v>
          </cell>
          <cell r="G632" t="str">
            <v>Mobile Phone</v>
          </cell>
          <cell r="H632" t="str">
            <v>[1]TAB - AON CAMPAIGN - AUGUST - SEPTEMBER FALABELLA</v>
          </cell>
          <cell r="I632" t="str">
            <v>Completed</v>
          </cell>
          <cell r="J632" t="str">
            <v>sjara.mella</v>
          </cell>
          <cell r="K632">
            <v>45513</v>
          </cell>
          <cell r="L632">
            <v>45626</v>
          </cell>
          <cell r="M632" t="str">
            <v>G1</v>
          </cell>
          <cell r="N632" t="str">
            <v>DIGITAL MEDIA</v>
          </cell>
          <cell r="O632" t="str">
            <v>A250</v>
          </cell>
          <cell r="P632" t="str">
            <v>DISPLAY</v>
          </cell>
          <cell r="Q632" t="str">
            <v>2024</v>
          </cell>
          <cell r="R632" t="str">
            <v>FZX363</v>
          </cell>
          <cell r="S632" t="str">
            <v>Falabella Retail S.A.</v>
          </cell>
          <cell r="T632" t="str">
            <v/>
          </cell>
          <cell r="U632" t="str">
            <v>Remanente pedir factura</v>
          </cell>
        </row>
        <row r="633">
          <cell r="C633" t="str">
            <v>T24C850000943</v>
          </cell>
          <cell r="D633" t="str">
            <v>A24C850001263</v>
          </cell>
          <cell r="E633">
            <v>6000000</v>
          </cell>
          <cell r="G633" t="str">
            <v>Mobile Phone</v>
          </cell>
          <cell r="H633" t="str">
            <v>[1]TAB - AON CAMPAIGN - AUGUST - SEPTEMBER FALABELLA</v>
          </cell>
          <cell r="I633" t="str">
            <v>Completed</v>
          </cell>
          <cell r="J633" t="str">
            <v>sjara.mella</v>
          </cell>
          <cell r="K633">
            <v>45513</v>
          </cell>
          <cell r="L633">
            <v>45626</v>
          </cell>
          <cell r="M633" t="str">
            <v>G1</v>
          </cell>
          <cell r="N633" t="str">
            <v>DIGITAL MEDIA</v>
          </cell>
          <cell r="O633" t="str">
            <v>A240</v>
          </cell>
          <cell r="P633" t="str">
            <v>SEARCH</v>
          </cell>
          <cell r="Q633" t="str">
            <v>2024</v>
          </cell>
          <cell r="R633" t="str">
            <v>FZX363</v>
          </cell>
          <cell r="S633" t="str">
            <v>Falabella Retail S.A.</v>
          </cell>
          <cell r="T633" t="str">
            <v/>
          </cell>
          <cell r="U633" t="str">
            <v>Remanente pedir factura</v>
          </cell>
        </row>
        <row r="634">
          <cell r="C634" t="str">
            <v>T24C850000943</v>
          </cell>
          <cell r="D634" t="str">
            <v>A24C850001263</v>
          </cell>
          <cell r="E634">
            <v>6198000</v>
          </cell>
          <cell r="G634" t="str">
            <v>Mobile Phone</v>
          </cell>
          <cell r="H634" t="str">
            <v>[1]TAB - AON CAMPAIGN - AUGUST - SEPTEMBER FALABELLA</v>
          </cell>
          <cell r="I634" t="str">
            <v>Completed</v>
          </cell>
          <cell r="J634" t="str">
            <v>sjara.mella</v>
          </cell>
          <cell r="K634">
            <v>45513</v>
          </cell>
          <cell r="L634">
            <v>45626</v>
          </cell>
          <cell r="M634" t="str">
            <v>G1</v>
          </cell>
          <cell r="N634" t="str">
            <v>DIGITAL MEDIA</v>
          </cell>
          <cell r="O634" t="str">
            <v>A240</v>
          </cell>
          <cell r="P634" t="str">
            <v>SEARCH</v>
          </cell>
          <cell r="Q634" t="str">
            <v>2024</v>
          </cell>
          <cell r="R634" t="str">
            <v>FZX363</v>
          </cell>
          <cell r="S634" t="str">
            <v>Falabella Retail S.A.</v>
          </cell>
          <cell r="T634" t="str">
            <v/>
          </cell>
          <cell r="U634" t="str">
            <v>Remanente pedir factura</v>
          </cell>
        </row>
        <row r="635">
          <cell r="C635" t="str">
            <v>T24C850000955</v>
          </cell>
          <cell r="D635" t="str">
            <v>A24C850001288</v>
          </cell>
          <cell r="E635">
            <v>6000000</v>
          </cell>
          <cell r="F635">
            <v>0</v>
          </cell>
          <cell r="G635" t="str">
            <v>Mobile Phone</v>
          </cell>
          <cell r="H635" t="str">
            <v>[1]HHP - AON CAMPAIGN - AUGUST - SEPTEMBER FALABELLA</v>
          </cell>
          <cell r="I635" t="str">
            <v>Completed</v>
          </cell>
          <cell r="J635" t="str">
            <v>sjara.mella</v>
          </cell>
          <cell r="K635">
            <v>45513</v>
          </cell>
          <cell r="L635">
            <v>45626</v>
          </cell>
          <cell r="M635" t="str">
            <v>G1</v>
          </cell>
          <cell r="N635" t="str">
            <v>DIGITAL MEDIA</v>
          </cell>
          <cell r="O635" t="str">
            <v>A250</v>
          </cell>
          <cell r="P635" t="str">
            <v>DISPLAY</v>
          </cell>
          <cell r="Q635" t="str">
            <v>2024</v>
          </cell>
          <cell r="R635" t="str">
            <v>FZX363</v>
          </cell>
          <cell r="S635" t="str">
            <v>Falabella Retail S.A.</v>
          </cell>
          <cell r="T635" t="str">
            <v/>
          </cell>
          <cell r="U635" t="str">
            <v>Remanente pedir factura</v>
          </cell>
        </row>
        <row r="636">
          <cell r="C636" t="str">
            <v>T24C850000955</v>
          </cell>
          <cell r="D636" t="str">
            <v>A24C850001288</v>
          </cell>
          <cell r="E636">
            <v>11197500</v>
          </cell>
          <cell r="F636">
            <v>0</v>
          </cell>
          <cell r="G636" t="str">
            <v>Mobile Phone</v>
          </cell>
          <cell r="H636" t="str">
            <v>[1]HHP - AON CAMPAIGN - AUGUST - SEPTEMBER FALABELLA</v>
          </cell>
          <cell r="I636" t="str">
            <v>Completed</v>
          </cell>
          <cell r="J636" t="str">
            <v>sjara.mella</v>
          </cell>
          <cell r="K636">
            <v>45513</v>
          </cell>
          <cell r="L636">
            <v>45626</v>
          </cell>
          <cell r="M636" t="str">
            <v>G1</v>
          </cell>
          <cell r="N636" t="str">
            <v>DIGITAL MEDIA</v>
          </cell>
          <cell r="O636" t="str">
            <v>A250</v>
          </cell>
          <cell r="P636" t="str">
            <v>DISPLAY</v>
          </cell>
          <cell r="Q636" t="str">
            <v>2024</v>
          </cell>
          <cell r="R636" t="str">
            <v>FZX363</v>
          </cell>
          <cell r="S636" t="str">
            <v>Falabella Retail S.A.</v>
          </cell>
          <cell r="T636" t="str">
            <v/>
          </cell>
          <cell r="U636" t="str">
            <v>Remanente pedir factura</v>
          </cell>
        </row>
        <row r="637">
          <cell r="C637" t="str">
            <v>T24C850000955</v>
          </cell>
          <cell r="D637" t="str">
            <v>A24C850001288</v>
          </cell>
          <cell r="E637">
            <v>10000000</v>
          </cell>
          <cell r="F637">
            <v>0</v>
          </cell>
          <cell r="G637" t="str">
            <v>Mobile Phone</v>
          </cell>
          <cell r="H637" t="str">
            <v>[1]HHP - AON CAMPAIGN - AUGUST - SEPTEMBER FALABELLA</v>
          </cell>
          <cell r="I637" t="str">
            <v>Completed</v>
          </cell>
          <cell r="J637" t="str">
            <v>sjara.mella</v>
          </cell>
          <cell r="K637">
            <v>45513</v>
          </cell>
          <cell r="L637">
            <v>45626</v>
          </cell>
          <cell r="M637" t="str">
            <v>G1</v>
          </cell>
          <cell r="N637" t="str">
            <v>DIGITAL MEDIA</v>
          </cell>
          <cell r="O637" t="str">
            <v>A240</v>
          </cell>
          <cell r="P637" t="str">
            <v>SEARCH</v>
          </cell>
          <cell r="Q637" t="str">
            <v>2024</v>
          </cell>
          <cell r="R637" t="str">
            <v>FZX363</v>
          </cell>
          <cell r="S637" t="str">
            <v>Falabella Retail S.A.</v>
          </cell>
          <cell r="T637" t="str">
            <v/>
          </cell>
          <cell r="U637" t="str">
            <v>Remanente pedir factura</v>
          </cell>
        </row>
        <row r="638">
          <cell r="C638" t="str">
            <v>T24C850000955</v>
          </cell>
          <cell r="D638" t="str">
            <v>A24C850001288</v>
          </cell>
          <cell r="E638">
            <v>11197500</v>
          </cell>
          <cell r="F638">
            <v>0</v>
          </cell>
          <cell r="G638" t="str">
            <v>Mobile Phone</v>
          </cell>
          <cell r="H638" t="str">
            <v>[1]HHP - AON CAMPAIGN - AUGUST - SEPTEMBER FALABELLA</v>
          </cell>
          <cell r="I638" t="str">
            <v>Completed</v>
          </cell>
          <cell r="J638" t="str">
            <v>sjara.mella</v>
          </cell>
          <cell r="K638">
            <v>45513</v>
          </cell>
          <cell r="L638">
            <v>45626</v>
          </cell>
          <cell r="M638" t="str">
            <v>G1</v>
          </cell>
          <cell r="N638" t="str">
            <v>DIGITAL MEDIA</v>
          </cell>
          <cell r="O638" t="str">
            <v>A240</v>
          </cell>
          <cell r="P638" t="str">
            <v>SEARCH</v>
          </cell>
          <cell r="Q638" t="str">
            <v>2024</v>
          </cell>
          <cell r="R638" t="str">
            <v>FZX363</v>
          </cell>
          <cell r="S638" t="str">
            <v>Falabella Retail S.A.</v>
          </cell>
          <cell r="T638" t="str">
            <v/>
          </cell>
          <cell r="U638" t="str">
            <v>Remanente pedir factura</v>
          </cell>
        </row>
        <row r="639">
          <cell r="C639" t="str">
            <v>T24C850000958</v>
          </cell>
          <cell r="D639" t="str">
            <v>A24C850001289</v>
          </cell>
          <cell r="E639">
            <v>3000000</v>
          </cell>
          <cell r="F639">
            <v>0</v>
          </cell>
          <cell r="G639" t="str">
            <v>Mobile Phone</v>
          </cell>
          <cell r="H639" t="str">
            <v>[1]WEAR - AON CAMPAIGN - AUGUST TO NOVEMBER - FALABELLA</v>
          </cell>
          <cell r="I639" t="str">
            <v>Completed</v>
          </cell>
          <cell r="J639" t="str">
            <v>m.lavanchy</v>
          </cell>
          <cell r="K639">
            <v>45516</v>
          </cell>
          <cell r="L639">
            <v>45657</v>
          </cell>
          <cell r="M639" t="str">
            <v>G1</v>
          </cell>
          <cell r="N639" t="str">
            <v>DIGITAL MEDIA</v>
          </cell>
          <cell r="O639" t="str">
            <v>A240</v>
          </cell>
          <cell r="P639" t="str">
            <v>SEARCH</v>
          </cell>
          <cell r="Q639" t="str">
            <v>2024</v>
          </cell>
          <cell r="R639" t="str">
            <v>FZX363</v>
          </cell>
          <cell r="S639" t="str">
            <v>Falabella Retail S.A.</v>
          </cell>
          <cell r="T639" t="str">
            <v/>
          </cell>
          <cell r="U639" t="str">
            <v>Remanente pedir factura</v>
          </cell>
        </row>
        <row r="640">
          <cell r="C640" t="str">
            <v>T24C850000958</v>
          </cell>
          <cell r="D640" t="str">
            <v>A24C850001289</v>
          </cell>
          <cell r="E640">
            <v>3556500</v>
          </cell>
          <cell r="F640">
            <v>0</v>
          </cell>
          <cell r="G640" t="str">
            <v>Mobile Phone</v>
          </cell>
          <cell r="H640" t="str">
            <v>[1]WEAR - AON CAMPAIGN - AUGUST TO NOVEMBER - FALABELLA</v>
          </cell>
          <cell r="I640" t="str">
            <v>Completed</v>
          </cell>
          <cell r="J640" t="str">
            <v>m.lavanchy</v>
          </cell>
          <cell r="K640">
            <v>45516</v>
          </cell>
          <cell r="L640">
            <v>45657</v>
          </cell>
          <cell r="M640" t="str">
            <v>G1</v>
          </cell>
          <cell r="N640" t="str">
            <v>DIGITAL MEDIA</v>
          </cell>
          <cell r="O640" t="str">
            <v>A240</v>
          </cell>
          <cell r="P640" t="str">
            <v>SEARCH</v>
          </cell>
          <cell r="Q640" t="str">
            <v>2024</v>
          </cell>
          <cell r="R640" t="str">
            <v>FZX363</v>
          </cell>
          <cell r="S640" t="str">
            <v>Falabella Retail S.A.</v>
          </cell>
          <cell r="T640" t="str">
            <v/>
          </cell>
          <cell r="U640" t="str">
            <v>Remanente pedir factura</v>
          </cell>
        </row>
        <row r="641">
          <cell r="C641" t="str">
            <v>T24C850000958</v>
          </cell>
          <cell r="D641" t="str">
            <v>A24C850001289</v>
          </cell>
          <cell r="E641">
            <v>1000000</v>
          </cell>
          <cell r="F641">
            <v>0</v>
          </cell>
          <cell r="G641" t="str">
            <v>Mobile Phone</v>
          </cell>
          <cell r="H641" t="str">
            <v>[1]WEAR - AON CAMPAIGN - AUGUST TO NOVEMBER - FALABELLA</v>
          </cell>
          <cell r="I641" t="str">
            <v>Completed</v>
          </cell>
          <cell r="J641" t="str">
            <v>m.lavanchy</v>
          </cell>
          <cell r="K641">
            <v>45516</v>
          </cell>
          <cell r="L641">
            <v>45657</v>
          </cell>
          <cell r="M641" t="str">
            <v>G1</v>
          </cell>
          <cell r="N641" t="str">
            <v>DIGITAL MEDIA</v>
          </cell>
          <cell r="O641" t="str">
            <v>A240</v>
          </cell>
          <cell r="P641" t="str">
            <v>SEARCH</v>
          </cell>
          <cell r="Q641" t="str">
            <v>2024</v>
          </cell>
          <cell r="R641" t="str">
            <v>FZX363</v>
          </cell>
          <cell r="S641" t="str">
            <v>Falabella Retail S.A.</v>
          </cell>
          <cell r="T641" t="str">
            <v/>
          </cell>
          <cell r="U641" t="str">
            <v>Remanente pedir factura</v>
          </cell>
        </row>
        <row r="642">
          <cell r="C642" t="str">
            <v>T24C850000958</v>
          </cell>
          <cell r="D642" t="str">
            <v>A24C850001289</v>
          </cell>
          <cell r="E642">
            <v>1000000</v>
          </cell>
          <cell r="F642">
            <v>0</v>
          </cell>
          <cell r="G642" t="str">
            <v>Mobile Phone</v>
          </cell>
          <cell r="H642" t="str">
            <v>[1]WEAR - AON CAMPAIGN - AUGUST TO NOVEMBER - FALABELLA</v>
          </cell>
          <cell r="I642" t="str">
            <v>Completed</v>
          </cell>
          <cell r="J642" t="str">
            <v>m.lavanchy</v>
          </cell>
          <cell r="K642">
            <v>45516</v>
          </cell>
          <cell r="L642">
            <v>45657</v>
          </cell>
          <cell r="M642" t="str">
            <v>G1</v>
          </cell>
          <cell r="N642" t="str">
            <v>DIGITAL MEDIA</v>
          </cell>
          <cell r="O642" t="str">
            <v>A240</v>
          </cell>
          <cell r="P642" t="str">
            <v>SEARCH</v>
          </cell>
          <cell r="Q642" t="str">
            <v>2024</v>
          </cell>
          <cell r="R642" t="str">
            <v>FZX363</v>
          </cell>
          <cell r="S642" t="str">
            <v>Falabella Retail S.A.</v>
          </cell>
          <cell r="T642" t="str">
            <v/>
          </cell>
          <cell r="U642" t="str">
            <v>Remanente pedir factura</v>
          </cell>
        </row>
        <row r="643">
          <cell r="C643" t="str">
            <v>T24C850000958</v>
          </cell>
          <cell r="D643" t="str">
            <v>A24C850001289</v>
          </cell>
          <cell r="E643">
            <v>1000000</v>
          </cell>
          <cell r="F643">
            <v>0</v>
          </cell>
          <cell r="G643" t="str">
            <v>Mobile Phone</v>
          </cell>
          <cell r="H643" t="str">
            <v>[1]WEAR - AON CAMPAIGN - AUGUST TO NOVEMBER - FALABELLA</v>
          </cell>
          <cell r="I643" t="str">
            <v>Completed</v>
          </cell>
          <cell r="J643" t="str">
            <v>m.lavanchy</v>
          </cell>
          <cell r="K643">
            <v>45516</v>
          </cell>
          <cell r="L643">
            <v>45657</v>
          </cell>
          <cell r="M643" t="str">
            <v>G1</v>
          </cell>
          <cell r="N643" t="str">
            <v>DIGITAL MEDIA</v>
          </cell>
          <cell r="O643" t="str">
            <v>A250</v>
          </cell>
          <cell r="P643" t="str">
            <v>DISPLAY</v>
          </cell>
          <cell r="Q643" t="str">
            <v>2024</v>
          </cell>
          <cell r="R643" t="str">
            <v>FZX363</v>
          </cell>
          <cell r="S643" t="str">
            <v>Falabella Retail S.A.</v>
          </cell>
          <cell r="T643" t="str">
            <v/>
          </cell>
          <cell r="U643" t="str">
            <v>Remanente pedir factura</v>
          </cell>
        </row>
        <row r="644">
          <cell r="C644" t="str">
            <v>T24C850000958</v>
          </cell>
          <cell r="D644" t="str">
            <v>A24C850001289</v>
          </cell>
          <cell r="E644">
            <v>2556500</v>
          </cell>
          <cell r="F644">
            <v>0</v>
          </cell>
          <cell r="G644" t="str">
            <v>Mobile Phone</v>
          </cell>
          <cell r="H644" t="str">
            <v>[1]WEAR - AON CAMPAIGN - AUGUST TO NOVEMBER - FALABELLA</v>
          </cell>
          <cell r="I644" t="str">
            <v>Completed</v>
          </cell>
          <cell r="J644" t="str">
            <v>m.lavanchy</v>
          </cell>
          <cell r="K644">
            <v>45516</v>
          </cell>
          <cell r="L644">
            <v>45657</v>
          </cell>
          <cell r="M644" t="str">
            <v>G1</v>
          </cell>
          <cell r="N644" t="str">
            <v>DIGITAL MEDIA</v>
          </cell>
          <cell r="O644" t="str">
            <v>A250</v>
          </cell>
          <cell r="P644" t="str">
            <v>DISPLAY</v>
          </cell>
          <cell r="Q644" t="str">
            <v>2024</v>
          </cell>
          <cell r="R644" t="str">
            <v>FZX363</v>
          </cell>
          <cell r="S644" t="str">
            <v>Falabella Retail S.A.</v>
          </cell>
          <cell r="T644" t="str">
            <v/>
          </cell>
          <cell r="U644" t="str">
            <v>Remanente pedir factura</v>
          </cell>
        </row>
        <row r="645">
          <cell r="C645" t="str">
            <v>T24C850000958</v>
          </cell>
          <cell r="D645" t="str">
            <v>A24C850001289</v>
          </cell>
          <cell r="E645">
            <v>1000000</v>
          </cell>
          <cell r="F645">
            <v>0</v>
          </cell>
          <cell r="G645" t="str">
            <v>Mobile Phone</v>
          </cell>
          <cell r="H645" t="str">
            <v>[1]WEAR - AON CAMPAIGN - AUGUST TO NOVEMBER - FALABELLA</v>
          </cell>
          <cell r="I645" t="str">
            <v>Completed</v>
          </cell>
          <cell r="J645" t="str">
            <v>m.lavanchy</v>
          </cell>
          <cell r="K645">
            <v>45516</v>
          </cell>
          <cell r="L645">
            <v>45657</v>
          </cell>
          <cell r="M645" t="str">
            <v>G1</v>
          </cell>
          <cell r="N645" t="str">
            <v>DIGITAL MEDIA</v>
          </cell>
          <cell r="O645" t="str">
            <v>A250</v>
          </cell>
          <cell r="P645" t="str">
            <v>DISPLAY</v>
          </cell>
          <cell r="Q645" t="str">
            <v>2024</v>
          </cell>
          <cell r="R645" t="str">
            <v>FZX363</v>
          </cell>
          <cell r="S645" t="str">
            <v>Falabella Retail S.A.</v>
          </cell>
          <cell r="T645" t="str">
            <v/>
          </cell>
          <cell r="U645" t="str">
            <v>Remanente pedir factura</v>
          </cell>
        </row>
        <row r="646">
          <cell r="C646" t="str">
            <v>T24C850000958</v>
          </cell>
          <cell r="D646" t="str">
            <v>A24C850001289</v>
          </cell>
          <cell r="E646">
            <v>1000000</v>
          </cell>
          <cell r="F646">
            <v>0</v>
          </cell>
          <cell r="G646" t="str">
            <v>Mobile Phone</v>
          </cell>
          <cell r="H646" t="str">
            <v>[1]WEAR - AON CAMPAIGN - AUGUST TO NOVEMBER - FALABELLA</v>
          </cell>
          <cell r="I646" t="str">
            <v>Completed</v>
          </cell>
          <cell r="J646" t="str">
            <v>m.lavanchy</v>
          </cell>
          <cell r="K646">
            <v>45516</v>
          </cell>
          <cell r="L646">
            <v>45657</v>
          </cell>
          <cell r="M646" t="str">
            <v>G1</v>
          </cell>
          <cell r="N646" t="str">
            <v>DIGITAL MEDIA</v>
          </cell>
          <cell r="O646" t="str">
            <v>A250</v>
          </cell>
          <cell r="P646" t="str">
            <v>DISPLAY</v>
          </cell>
          <cell r="Q646" t="str">
            <v>2024</v>
          </cell>
          <cell r="R646" t="str">
            <v>FZX363</v>
          </cell>
          <cell r="S646" t="str">
            <v>Falabella Retail S.A.</v>
          </cell>
          <cell r="T646" t="str">
            <v/>
          </cell>
          <cell r="U646" t="str">
            <v>Remanente pedir factura</v>
          </cell>
        </row>
        <row r="647">
          <cell r="C647" t="str">
            <v>T24C850000985</v>
          </cell>
          <cell r="D647" t="str">
            <v>A24C850001355</v>
          </cell>
          <cell r="E647">
            <v>5000000</v>
          </cell>
          <cell r="F647">
            <v>0</v>
          </cell>
          <cell r="G647" t="str">
            <v>Mobile Phone</v>
          </cell>
          <cell r="H647" t="str">
            <v>[1]HHP - S24 SUSTAIN CAMPAIGN - AUGUST - FALABELLA</v>
          </cell>
          <cell r="I647" t="str">
            <v>Completed</v>
          </cell>
          <cell r="J647" t="str">
            <v>fernandez.r</v>
          </cell>
          <cell r="K647">
            <v>45527</v>
          </cell>
          <cell r="L647">
            <v>45626</v>
          </cell>
          <cell r="M647" t="str">
            <v>G1</v>
          </cell>
          <cell r="N647" t="str">
            <v>DIGITAL MEDIA</v>
          </cell>
          <cell r="O647" t="str">
            <v>A250</v>
          </cell>
          <cell r="P647" t="str">
            <v>DISPLAY</v>
          </cell>
          <cell r="Q647" t="str">
            <v>2024</v>
          </cell>
          <cell r="R647" t="str">
            <v>FZX363</v>
          </cell>
          <cell r="S647" t="str">
            <v>Falabella Retail S.A.</v>
          </cell>
          <cell r="T647" t="str">
            <v/>
          </cell>
          <cell r="U647" t="str">
            <v>NO se ha usado</v>
          </cell>
        </row>
        <row r="648">
          <cell r="C648" t="str">
            <v>T24C850000985</v>
          </cell>
          <cell r="D648" t="str">
            <v>A24C850001355</v>
          </cell>
          <cell r="E648">
            <v>10000000</v>
          </cell>
          <cell r="F648">
            <v>0</v>
          </cell>
          <cell r="G648" t="str">
            <v>Mobile Phone</v>
          </cell>
          <cell r="H648" t="str">
            <v>[1]HHP - S24 SUSTAIN CAMPAIGN - AUGUST - FALABELLA</v>
          </cell>
          <cell r="I648" t="str">
            <v>Completed</v>
          </cell>
          <cell r="J648" t="str">
            <v>fernandez.r</v>
          </cell>
          <cell r="K648">
            <v>45527</v>
          </cell>
          <cell r="L648">
            <v>45626</v>
          </cell>
          <cell r="M648" t="str">
            <v>G1</v>
          </cell>
          <cell r="N648" t="str">
            <v>DIGITAL MEDIA</v>
          </cell>
          <cell r="O648" t="str">
            <v>A240</v>
          </cell>
          <cell r="P648" t="str">
            <v>SEARCH</v>
          </cell>
          <cell r="Q648" t="str">
            <v>2024</v>
          </cell>
          <cell r="R648" t="str">
            <v>FZX363</v>
          </cell>
          <cell r="S648" t="str">
            <v>Falabella Retail S.A.</v>
          </cell>
          <cell r="T648" t="str">
            <v/>
          </cell>
          <cell r="U648" t="str">
            <v>NO se ha usado</v>
          </cell>
        </row>
        <row r="649">
          <cell r="C649" t="str">
            <v>T24C850001138</v>
          </cell>
          <cell r="D649" t="str">
            <v>A24C850001590</v>
          </cell>
          <cell r="E649">
            <v>1000000</v>
          </cell>
          <cell r="F649">
            <v>0</v>
          </cell>
          <cell r="G649" t="str">
            <v>Mobile Phone</v>
          </cell>
          <cell r="H649" t="str">
            <v>[1]WEAR AON WEAR RETAIL CAMPAIGN 2024</v>
          </cell>
          <cell r="I649" t="str">
            <v>Completed</v>
          </cell>
          <cell r="J649" t="str">
            <v>f.inda</v>
          </cell>
          <cell r="K649">
            <v>45566</v>
          </cell>
          <cell r="L649">
            <v>45657</v>
          </cell>
          <cell r="M649" t="str">
            <v>G1</v>
          </cell>
          <cell r="N649" t="str">
            <v>DIGITAL MEDIA</v>
          </cell>
          <cell r="O649" t="str">
            <v>A230</v>
          </cell>
          <cell r="P649" t="str">
            <v>SOCIAL ADS</v>
          </cell>
          <cell r="Q649" t="str">
            <v>2024</v>
          </cell>
          <cell r="R649" t="str">
            <v>FZX363</v>
          </cell>
          <cell r="S649" t="str">
            <v>Falabella Retail S.A.</v>
          </cell>
          <cell r="T649" t="str">
            <v/>
          </cell>
        </row>
        <row r="650">
          <cell r="C650" t="str">
            <v>T24C850001138</v>
          </cell>
          <cell r="D650" t="str">
            <v>A24C850001590</v>
          </cell>
          <cell r="E650">
            <v>1000000</v>
          </cell>
          <cell r="F650">
            <v>0</v>
          </cell>
          <cell r="G650" t="str">
            <v>Mobile Phone</v>
          </cell>
          <cell r="H650" t="str">
            <v>[1]WEAR AON WEAR RETAIL CAMPAIGN 2024</v>
          </cell>
          <cell r="I650" t="str">
            <v>Completed</v>
          </cell>
          <cell r="J650" t="str">
            <v>f.inda</v>
          </cell>
          <cell r="K650">
            <v>45566</v>
          </cell>
          <cell r="L650">
            <v>45657</v>
          </cell>
          <cell r="M650" t="str">
            <v>G1</v>
          </cell>
          <cell r="N650" t="str">
            <v>DIGITAL MEDIA</v>
          </cell>
          <cell r="O650" t="str">
            <v>A230</v>
          </cell>
          <cell r="P650" t="str">
            <v>SOCIAL ADS</v>
          </cell>
          <cell r="Q650" t="str">
            <v>2024</v>
          </cell>
          <cell r="R650" t="str">
            <v>FZX363</v>
          </cell>
          <cell r="S650" t="str">
            <v>Falabella Retail S.A.</v>
          </cell>
          <cell r="T650" t="str">
            <v/>
          </cell>
        </row>
        <row r="651">
          <cell r="C651" t="str">
            <v>T24C850001138</v>
          </cell>
          <cell r="D651" t="str">
            <v>A24C850001590</v>
          </cell>
          <cell r="E651">
            <v>1000000</v>
          </cell>
          <cell r="F651">
            <v>0</v>
          </cell>
          <cell r="G651" t="str">
            <v>Mobile Phone</v>
          </cell>
          <cell r="H651" t="str">
            <v>[1]WEAR AON WEAR RETAIL CAMPAIGN 2024</v>
          </cell>
          <cell r="I651" t="str">
            <v>Completed</v>
          </cell>
          <cell r="J651" t="str">
            <v>f.inda</v>
          </cell>
          <cell r="K651">
            <v>45566</v>
          </cell>
          <cell r="L651">
            <v>45657</v>
          </cell>
          <cell r="M651" t="str">
            <v>G1</v>
          </cell>
          <cell r="N651" t="str">
            <v>DIGITAL MEDIA</v>
          </cell>
          <cell r="O651" t="str">
            <v>A240</v>
          </cell>
          <cell r="P651" t="str">
            <v>SEARCH</v>
          </cell>
          <cell r="Q651" t="str">
            <v>2024</v>
          </cell>
          <cell r="R651" t="str">
            <v>FZX363</v>
          </cell>
          <cell r="S651" t="str">
            <v>Falabella Retail S.A.</v>
          </cell>
          <cell r="T651" t="str">
            <v/>
          </cell>
        </row>
        <row r="652">
          <cell r="C652" t="str">
            <v>T24C850001138</v>
          </cell>
          <cell r="D652" t="str">
            <v>A24C850001590</v>
          </cell>
          <cell r="E652">
            <v>1000000</v>
          </cell>
          <cell r="F652">
            <v>0</v>
          </cell>
          <cell r="G652" t="str">
            <v>Mobile Phone</v>
          </cell>
          <cell r="H652" t="str">
            <v>[1]WEAR AON WEAR RETAIL CAMPAIGN 2024</v>
          </cell>
          <cell r="I652" t="str">
            <v>Completed</v>
          </cell>
          <cell r="J652" t="str">
            <v>f.inda</v>
          </cell>
          <cell r="K652">
            <v>45566</v>
          </cell>
          <cell r="L652">
            <v>45657</v>
          </cell>
          <cell r="M652" t="str">
            <v>G1</v>
          </cell>
          <cell r="N652" t="str">
            <v>DIGITAL MEDIA</v>
          </cell>
          <cell r="O652" t="str">
            <v>A240</v>
          </cell>
          <cell r="P652" t="str">
            <v>SEARCH</v>
          </cell>
          <cell r="Q652" t="str">
            <v>2024</v>
          </cell>
          <cell r="R652" t="str">
            <v>FZX363</v>
          </cell>
          <cell r="S652" t="str">
            <v>Falabella Retail S.A.</v>
          </cell>
          <cell r="T652" t="str">
            <v/>
          </cell>
        </row>
        <row r="653">
          <cell r="C653" t="str">
            <v>T24C850001142</v>
          </cell>
          <cell r="D653" t="str">
            <v>A24C850001594</v>
          </cell>
          <cell r="E653">
            <v>4500000</v>
          </cell>
          <cell r="F653">
            <v>0</v>
          </cell>
          <cell r="G653" t="str">
            <v>Mobile Phone</v>
          </cell>
          <cell r="H653" t="str">
            <v>[1]TAB AON SEP RETAIL CAMPAIGN 2024</v>
          </cell>
          <cell r="I653" t="str">
            <v>Completed</v>
          </cell>
          <cell r="J653" t="str">
            <v>f.inda</v>
          </cell>
          <cell r="K653">
            <v>45566</v>
          </cell>
          <cell r="L653">
            <v>45657</v>
          </cell>
          <cell r="M653" t="str">
            <v>G1</v>
          </cell>
          <cell r="N653" t="str">
            <v>DIGITAL MEDIA</v>
          </cell>
          <cell r="O653" t="str">
            <v>A240</v>
          </cell>
          <cell r="P653" t="str">
            <v>SEARCH</v>
          </cell>
          <cell r="Q653" t="str">
            <v>2024</v>
          </cell>
          <cell r="R653" t="str">
            <v>FZX363</v>
          </cell>
          <cell r="S653" t="str">
            <v>Falabella Retail S.A.</v>
          </cell>
          <cell r="T653" t="str">
            <v/>
          </cell>
        </row>
        <row r="654">
          <cell r="C654" t="str">
            <v>T24C850001142</v>
          </cell>
          <cell r="D654" t="str">
            <v>A24C850001594</v>
          </cell>
          <cell r="E654">
            <v>4500000</v>
          </cell>
          <cell r="F654">
            <v>0</v>
          </cell>
          <cell r="G654" t="str">
            <v>Mobile Phone</v>
          </cell>
          <cell r="H654" t="str">
            <v>[1]TAB AON SEP RETAIL CAMPAIGN 2024</v>
          </cell>
          <cell r="I654" t="str">
            <v>Completed</v>
          </cell>
          <cell r="J654" t="str">
            <v>f.inda</v>
          </cell>
          <cell r="K654">
            <v>45566</v>
          </cell>
          <cell r="L654">
            <v>45657</v>
          </cell>
          <cell r="M654" t="str">
            <v>G1</v>
          </cell>
          <cell r="N654" t="str">
            <v>DIGITAL MEDIA</v>
          </cell>
          <cell r="O654" t="str">
            <v>A240</v>
          </cell>
          <cell r="P654" t="str">
            <v>SEARCH</v>
          </cell>
          <cell r="Q654" t="str">
            <v>2024</v>
          </cell>
          <cell r="R654" t="str">
            <v>FZX363</v>
          </cell>
          <cell r="S654" t="str">
            <v>Falabella Retail S.A.</v>
          </cell>
          <cell r="T654" t="str">
            <v/>
          </cell>
        </row>
        <row r="655">
          <cell r="C655" t="str">
            <v>T24C850001142</v>
          </cell>
          <cell r="D655" t="str">
            <v>A24C850001594</v>
          </cell>
          <cell r="E655">
            <v>4500000</v>
          </cell>
          <cell r="F655">
            <v>0</v>
          </cell>
          <cell r="G655" t="str">
            <v>Mobile Phone</v>
          </cell>
          <cell r="H655" t="str">
            <v>[1]TAB AON SEP RETAIL CAMPAIGN 2024</v>
          </cell>
          <cell r="I655" t="str">
            <v>Completed</v>
          </cell>
          <cell r="J655" t="str">
            <v>f.inda</v>
          </cell>
          <cell r="K655">
            <v>45566</v>
          </cell>
          <cell r="L655">
            <v>45657</v>
          </cell>
          <cell r="M655" t="str">
            <v>G1</v>
          </cell>
          <cell r="N655" t="str">
            <v>DIGITAL MEDIA</v>
          </cell>
          <cell r="O655" t="str">
            <v>A240</v>
          </cell>
          <cell r="P655" t="str">
            <v>SEARCH</v>
          </cell>
          <cell r="Q655" t="str">
            <v>2024</v>
          </cell>
          <cell r="R655" t="str">
            <v>FZX363</v>
          </cell>
          <cell r="S655" t="str">
            <v>Falabella Retail S.A.</v>
          </cell>
          <cell r="T655" t="str">
            <v/>
          </cell>
        </row>
        <row r="656">
          <cell r="C656" t="str">
            <v>T24C850001142</v>
          </cell>
          <cell r="D656" t="str">
            <v>A24C850001594</v>
          </cell>
          <cell r="E656">
            <v>4500000</v>
          </cell>
          <cell r="F656">
            <v>0</v>
          </cell>
          <cell r="G656" t="str">
            <v>Mobile Phone</v>
          </cell>
          <cell r="H656" t="str">
            <v>[1]TAB AON SEP RETAIL CAMPAIGN 2024</v>
          </cell>
          <cell r="I656" t="str">
            <v>Completed</v>
          </cell>
          <cell r="J656" t="str">
            <v>f.inda</v>
          </cell>
          <cell r="K656">
            <v>45566</v>
          </cell>
          <cell r="L656">
            <v>45657</v>
          </cell>
          <cell r="M656" t="str">
            <v>G1</v>
          </cell>
          <cell r="N656" t="str">
            <v>DIGITAL MEDIA</v>
          </cell>
          <cell r="O656" t="str">
            <v>A230</v>
          </cell>
          <cell r="P656" t="str">
            <v>SOCIAL ADS</v>
          </cell>
          <cell r="Q656" t="str">
            <v>2024</v>
          </cell>
          <cell r="R656" t="str">
            <v>FZX363</v>
          </cell>
          <cell r="S656" t="str">
            <v>Falabella Retail S.A.</v>
          </cell>
          <cell r="T656" t="str">
            <v/>
          </cell>
        </row>
        <row r="657">
          <cell r="C657" t="str">
            <v>T24C850001142</v>
          </cell>
          <cell r="D657" t="str">
            <v>A24C850001594</v>
          </cell>
          <cell r="E657">
            <v>4500000</v>
          </cell>
          <cell r="F657">
            <v>0</v>
          </cell>
          <cell r="G657" t="str">
            <v>Mobile Phone</v>
          </cell>
          <cell r="H657" t="str">
            <v>[1]TAB AON SEP RETAIL CAMPAIGN 2024</v>
          </cell>
          <cell r="I657" t="str">
            <v>Completed</v>
          </cell>
          <cell r="J657" t="str">
            <v>f.inda</v>
          </cell>
          <cell r="K657">
            <v>45566</v>
          </cell>
          <cell r="L657">
            <v>45657</v>
          </cell>
          <cell r="M657" t="str">
            <v>G1</v>
          </cell>
          <cell r="N657" t="str">
            <v>DIGITAL MEDIA</v>
          </cell>
          <cell r="O657" t="str">
            <v>A230</v>
          </cell>
          <cell r="P657" t="str">
            <v>SOCIAL ADS</v>
          </cell>
          <cell r="Q657" t="str">
            <v>2024</v>
          </cell>
          <cell r="R657" t="str">
            <v>FZX363</v>
          </cell>
          <cell r="S657" t="str">
            <v>Falabella Retail S.A.</v>
          </cell>
          <cell r="T657" t="str">
            <v/>
          </cell>
        </row>
        <row r="658">
          <cell r="C658" t="str">
            <v>T24C850001142</v>
          </cell>
          <cell r="D658" t="str">
            <v>A24C850001594</v>
          </cell>
          <cell r="E658">
            <v>4500000</v>
          </cell>
          <cell r="F658">
            <v>0</v>
          </cell>
          <cell r="G658" t="str">
            <v>Mobile Phone</v>
          </cell>
          <cell r="H658" t="str">
            <v>[1]TAB AON SEP RETAIL CAMPAIGN 2024</v>
          </cell>
          <cell r="I658" t="str">
            <v>Completed</v>
          </cell>
          <cell r="J658" t="str">
            <v>f.inda</v>
          </cell>
          <cell r="K658">
            <v>45566</v>
          </cell>
          <cell r="L658">
            <v>45657</v>
          </cell>
          <cell r="M658" t="str">
            <v>G1</v>
          </cell>
          <cell r="N658" t="str">
            <v>DIGITAL MEDIA</v>
          </cell>
          <cell r="O658" t="str">
            <v>A230</v>
          </cell>
          <cell r="P658" t="str">
            <v>SOCIAL ADS</v>
          </cell>
          <cell r="Q658" t="str">
            <v>2024</v>
          </cell>
          <cell r="R658" t="str">
            <v>FZX363</v>
          </cell>
          <cell r="S658" t="str">
            <v>Falabella Retail S.A.</v>
          </cell>
          <cell r="T658" t="str">
            <v/>
          </cell>
        </row>
        <row r="659">
          <cell r="C659" t="str">
            <v>T24C850001144</v>
          </cell>
          <cell r="D659" t="str">
            <v>A24C850001591</v>
          </cell>
          <cell r="E659">
            <v>10600000</v>
          </cell>
          <cell r="F659">
            <v>0</v>
          </cell>
          <cell r="G659" t="str">
            <v>Computer</v>
          </cell>
          <cell r="H659" t="str">
            <v>[1]NPC AON Q4 RETAIL.COM CAMPAIGN 2024</v>
          </cell>
          <cell r="I659" t="str">
            <v>Completed</v>
          </cell>
          <cell r="J659" t="str">
            <v>m.lavanchy</v>
          </cell>
          <cell r="K659">
            <v>45566</v>
          </cell>
          <cell r="L659">
            <v>45657</v>
          </cell>
          <cell r="M659" t="str">
            <v>C3</v>
          </cell>
          <cell r="N659" t="str">
            <v>DIGITAL MEDIA</v>
          </cell>
          <cell r="O659" t="str">
            <v>A250</v>
          </cell>
          <cell r="P659" t="str">
            <v>DISPLAY</v>
          </cell>
          <cell r="Q659" t="str">
            <v>2024</v>
          </cell>
          <cell r="R659" t="str">
            <v>FZX363</v>
          </cell>
          <cell r="S659" t="str">
            <v>Falabella Retail S.A.</v>
          </cell>
          <cell r="T659" t="str">
            <v/>
          </cell>
        </row>
        <row r="660">
          <cell r="C660" t="str">
            <v>T24C850001144</v>
          </cell>
          <cell r="D660" t="str">
            <v>A24C850001591</v>
          </cell>
          <cell r="E660">
            <v>10600000</v>
          </cell>
          <cell r="F660">
            <v>0</v>
          </cell>
          <cell r="G660" t="str">
            <v>Computer</v>
          </cell>
          <cell r="H660" t="str">
            <v>[1]NPC AON Q4 RETAIL.COM CAMPAIGN 2024</v>
          </cell>
          <cell r="I660" t="str">
            <v>Completed</v>
          </cell>
          <cell r="J660" t="str">
            <v>m.lavanchy</v>
          </cell>
          <cell r="K660">
            <v>45566</v>
          </cell>
          <cell r="L660">
            <v>45657</v>
          </cell>
          <cell r="M660" t="str">
            <v>C3</v>
          </cell>
          <cell r="N660" t="str">
            <v>DIGITAL MEDIA</v>
          </cell>
          <cell r="O660" t="str">
            <v>A250</v>
          </cell>
          <cell r="P660" t="str">
            <v>DISPLAY</v>
          </cell>
          <cell r="Q660" t="str">
            <v>2024</v>
          </cell>
          <cell r="R660" t="str">
            <v>FZX363</v>
          </cell>
          <cell r="S660" t="str">
            <v>Falabella Retail S.A.</v>
          </cell>
          <cell r="T660" t="str">
            <v/>
          </cell>
        </row>
        <row r="661">
          <cell r="C661" t="str">
            <v>T24C850001144</v>
          </cell>
          <cell r="D661" t="str">
            <v>A24C850001591</v>
          </cell>
          <cell r="E661">
            <v>10600000</v>
          </cell>
          <cell r="F661">
            <v>0</v>
          </cell>
          <cell r="G661" t="str">
            <v>Computer</v>
          </cell>
          <cell r="H661" t="str">
            <v>[1]NPC AON Q4 RETAIL.COM CAMPAIGN 2024</v>
          </cell>
          <cell r="I661" t="str">
            <v>Completed</v>
          </cell>
          <cell r="J661" t="str">
            <v>m.lavanchy</v>
          </cell>
          <cell r="K661">
            <v>45566</v>
          </cell>
          <cell r="L661">
            <v>45657</v>
          </cell>
          <cell r="M661" t="str">
            <v>C3</v>
          </cell>
          <cell r="N661" t="str">
            <v>DIGITAL MEDIA</v>
          </cell>
          <cell r="O661" t="str">
            <v>A250</v>
          </cell>
          <cell r="P661" t="str">
            <v>DISPLAY</v>
          </cell>
          <cell r="Q661" t="str">
            <v>2024</v>
          </cell>
          <cell r="R661" t="str">
            <v>FZX363</v>
          </cell>
          <cell r="S661" t="str">
            <v>Falabella Retail S.A.</v>
          </cell>
          <cell r="T661" t="str">
            <v/>
          </cell>
        </row>
        <row r="662">
          <cell r="C662" t="str">
            <v>T24C850001144</v>
          </cell>
          <cell r="D662" t="str">
            <v>A24C850001591</v>
          </cell>
          <cell r="E662">
            <v>10600000</v>
          </cell>
          <cell r="F662">
            <v>0</v>
          </cell>
          <cell r="G662" t="str">
            <v>Computer</v>
          </cell>
          <cell r="H662" t="str">
            <v>[1]NPC AON Q4 RETAIL.COM CAMPAIGN 2024</v>
          </cell>
          <cell r="I662" t="str">
            <v>Completed</v>
          </cell>
          <cell r="J662" t="str">
            <v>m.lavanchy</v>
          </cell>
          <cell r="K662">
            <v>45566</v>
          </cell>
          <cell r="L662">
            <v>45657</v>
          </cell>
          <cell r="M662" t="str">
            <v>C3</v>
          </cell>
          <cell r="N662" t="str">
            <v>DIGITAL MEDIA</v>
          </cell>
          <cell r="O662" t="str">
            <v>A240</v>
          </cell>
          <cell r="P662" t="str">
            <v>SEARCH</v>
          </cell>
          <cell r="Q662" t="str">
            <v>2024</v>
          </cell>
          <cell r="R662" t="str">
            <v>FZX363</v>
          </cell>
          <cell r="S662" t="str">
            <v>Falabella Retail S.A.</v>
          </cell>
          <cell r="T662" t="str">
            <v/>
          </cell>
        </row>
        <row r="663">
          <cell r="C663" t="str">
            <v>T24C850001144</v>
          </cell>
          <cell r="D663" t="str">
            <v>A24C850001591</v>
          </cell>
          <cell r="E663">
            <v>10600000</v>
          </cell>
          <cell r="F663">
            <v>0</v>
          </cell>
          <cell r="G663" t="str">
            <v>Computer</v>
          </cell>
          <cell r="H663" t="str">
            <v>[1]NPC AON Q4 RETAIL.COM CAMPAIGN 2024</v>
          </cell>
          <cell r="I663" t="str">
            <v>Completed</v>
          </cell>
          <cell r="J663" t="str">
            <v>m.lavanchy</v>
          </cell>
          <cell r="K663">
            <v>45566</v>
          </cell>
          <cell r="L663">
            <v>45657</v>
          </cell>
          <cell r="M663" t="str">
            <v>C3</v>
          </cell>
          <cell r="N663" t="str">
            <v>DIGITAL MEDIA</v>
          </cell>
          <cell r="O663" t="str">
            <v>A240</v>
          </cell>
          <cell r="P663" t="str">
            <v>SEARCH</v>
          </cell>
          <cell r="Q663" t="str">
            <v>2024</v>
          </cell>
          <cell r="R663" t="str">
            <v>FZX363</v>
          </cell>
          <cell r="S663" t="str">
            <v>Falabella Retail S.A.</v>
          </cell>
          <cell r="T663" t="str">
            <v/>
          </cell>
        </row>
        <row r="664">
          <cell r="C664" t="str">
            <v>T24C850001144</v>
          </cell>
          <cell r="D664" t="str">
            <v>A24C850001591</v>
          </cell>
          <cell r="E664">
            <v>10600000</v>
          </cell>
          <cell r="F664">
            <v>0</v>
          </cell>
          <cell r="G664" t="str">
            <v>Computer</v>
          </cell>
          <cell r="H664" t="str">
            <v>[1]NPC AON Q4 RETAIL.COM CAMPAIGN 2024</v>
          </cell>
          <cell r="I664" t="str">
            <v>Completed</v>
          </cell>
          <cell r="J664" t="str">
            <v>m.lavanchy</v>
          </cell>
          <cell r="K664">
            <v>45566</v>
          </cell>
          <cell r="L664">
            <v>45657</v>
          </cell>
          <cell r="M664" t="str">
            <v>C3</v>
          </cell>
          <cell r="N664" t="str">
            <v>DIGITAL MEDIA</v>
          </cell>
          <cell r="O664" t="str">
            <v>A240</v>
          </cell>
          <cell r="P664" t="str">
            <v>SEARCH</v>
          </cell>
          <cell r="Q664" t="str">
            <v>2024</v>
          </cell>
          <cell r="R664" t="str">
            <v>FZX363</v>
          </cell>
          <cell r="S664" t="str">
            <v>Falabella Retail S.A.</v>
          </cell>
          <cell r="T664" t="str">
            <v/>
          </cell>
        </row>
        <row r="665">
          <cell r="C665" t="str">
            <v>T24C850001144</v>
          </cell>
          <cell r="D665" t="str">
            <v>A24C850001591</v>
          </cell>
          <cell r="E665">
            <v>10800000</v>
          </cell>
          <cell r="F665">
            <v>0</v>
          </cell>
          <cell r="G665" t="str">
            <v>Computer</v>
          </cell>
          <cell r="H665" t="str">
            <v>[1]NPC AON Q4 RETAIL.COM CAMPAIGN 2024</v>
          </cell>
          <cell r="I665" t="str">
            <v>Completed</v>
          </cell>
          <cell r="J665" t="str">
            <v>m.lavanchy</v>
          </cell>
          <cell r="K665">
            <v>45566</v>
          </cell>
          <cell r="L665">
            <v>45657</v>
          </cell>
          <cell r="M665" t="str">
            <v>C3</v>
          </cell>
          <cell r="N665" t="str">
            <v>DIGITAL MEDIA</v>
          </cell>
          <cell r="O665" t="str">
            <v>A230</v>
          </cell>
          <cell r="P665" t="str">
            <v>SOCIAL ADS</v>
          </cell>
          <cell r="Q665" t="str">
            <v>2024</v>
          </cell>
          <cell r="R665" t="str">
            <v>FZX363</v>
          </cell>
          <cell r="S665" t="str">
            <v>Falabella Retail S.A.</v>
          </cell>
          <cell r="T665" t="str">
            <v/>
          </cell>
        </row>
        <row r="666">
          <cell r="C666" t="str">
            <v>T24C850001144</v>
          </cell>
          <cell r="D666" t="str">
            <v>A24C850001591</v>
          </cell>
          <cell r="E666">
            <v>10800000</v>
          </cell>
          <cell r="F666">
            <v>0</v>
          </cell>
          <cell r="G666" t="str">
            <v>Computer</v>
          </cell>
          <cell r="H666" t="str">
            <v>[1]NPC AON Q4 RETAIL.COM CAMPAIGN 2024</v>
          </cell>
          <cell r="I666" t="str">
            <v>Completed</v>
          </cell>
          <cell r="J666" t="str">
            <v>m.lavanchy</v>
          </cell>
          <cell r="K666">
            <v>45566</v>
          </cell>
          <cell r="L666">
            <v>45657</v>
          </cell>
          <cell r="M666" t="str">
            <v>C3</v>
          </cell>
          <cell r="N666" t="str">
            <v>DIGITAL MEDIA</v>
          </cell>
          <cell r="O666" t="str">
            <v>A230</v>
          </cell>
          <cell r="P666" t="str">
            <v>SOCIAL ADS</v>
          </cell>
          <cell r="Q666" t="str">
            <v>2024</v>
          </cell>
          <cell r="R666" t="str">
            <v>FZX363</v>
          </cell>
          <cell r="S666" t="str">
            <v>Falabella Retail S.A.</v>
          </cell>
          <cell r="T666" t="str">
            <v/>
          </cell>
        </row>
        <row r="667">
          <cell r="C667" t="str">
            <v>T24C850001144</v>
          </cell>
          <cell r="D667" t="str">
            <v>A24C850001591</v>
          </cell>
          <cell r="E667">
            <v>10800000</v>
          </cell>
          <cell r="F667">
            <v>0</v>
          </cell>
          <cell r="G667" t="str">
            <v>Computer</v>
          </cell>
          <cell r="H667" t="str">
            <v>[1]NPC AON Q4 RETAIL.COM CAMPAIGN 2024</v>
          </cell>
          <cell r="I667" t="str">
            <v>Completed</v>
          </cell>
          <cell r="J667" t="str">
            <v>m.lavanchy</v>
          </cell>
          <cell r="K667">
            <v>45566</v>
          </cell>
          <cell r="L667">
            <v>45657</v>
          </cell>
          <cell r="M667" t="str">
            <v>C3</v>
          </cell>
          <cell r="N667" t="str">
            <v>DIGITAL MEDIA</v>
          </cell>
          <cell r="O667" t="str">
            <v>A230</v>
          </cell>
          <cell r="P667" t="str">
            <v>SOCIAL ADS</v>
          </cell>
          <cell r="Q667" t="str">
            <v>2024</v>
          </cell>
          <cell r="R667" t="str">
            <v>FZX363</v>
          </cell>
          <cell r="S667" t="str">
            <v>Falabella Retail S.A.</v>
          </cell>
          <cell r="T667" t="str">
            <v/>
          </cell>
        </row>
        <row r="668">
          <cell r="C668" t="str">
            <v>T24C850001149</v>
          </cell>
          <cell r="D668" t="str">
            <v>A24C850001596</v>
          </cell>
          <cell r="E668">
            <v>8500000</v>
          </cell>
          <cell r="F668">
            <v>0</v>
          </cell>
          <cell r="G668" t="str">
            <v>Mobile Phone</v>
          </cell>
          <cell r="H668" t="str">
            <v>[1]HHP AON Q4 RETAIL CAMPAIGN 2024</v>
          </cell>
          <cell r="I668" t="str">
            <v>Completed</v>
          </cell>
          <cell r="J668" t="str">
            <v>m.lavanchy</v>
          </cell>
          <cell r="K668">
            <v>45566</v>
          </cell>
          <cell r="L668">
            <v>45657</v>
          </cell>
          <cell r="M668" t="str">
            <v>G1</v>
          </cell>
          <cell r="N668" t="str">
            <v>DIGITAL MEDIA</v>
          </cell>
          <cell r="O668" t="str">
            <v>A240</v>
          </cell>
          <cell r="P668" t="str">
            <v>SEARCH</v>
          </cell>
          <cell r="Q668" t="str">
            <v>2024</v>
          </cell>
          <cell r="R668" t="str">
            <v>FZX363</v>
          </cell>
          <cell r="S668" t="str">
            <v>Falabella Retail S.A.</v>
          </cell>
          <cell r="T668" t="str">
            <v/>
          </cell>
        </row>
        <row r="669">
          <cell r="C669" t="str">
            <v>T24C850001149</v>
          </cell>
          <cell r="D669" t="str">
            <v>A24C850001596</v>
          </cell>
          <cell r="E669">
            <v>7000000</v>
          </cell>
          <cell r="F669">
            <v>0</v>
          </cell>
          <cell r="G669" t="str">
            <v>Mobile Phone</v>
          </cell>
          <cell r="H669" t="str">
            <v>[1]HHP AON Q4 RETAIL CAMPAIGN 2024</v>
          </cell>
          <cell r="I669" t="str">
            <v>Completed</v>
          </cell>
          <cell r="J669" t="str">
            <v>m.lavanchy</v>
          </cell>
          <cell r="K669">
            <v>45566</v>
          </cell>
          <cell r="L669">
            <v>45657</v>
          </cell>
          <cell r="M669" t="str">
            <v>G1</v>
          </cell>
          <cell r="N669" t="str">
            <v>DIGITAL MEDIA</v>
          </cell>
          <cell r="O669" t="str">
            <v>A240</v>
          </cell>
          <cell r="P669" t="str">
            <v>SEARCH</v>
          </cell>
          <cell r="Q669" t="str">
            <v>2024</v>
          </cell>
          <cell r="R669" t="str">
            <v>FZX363</v>
          </cell>
          <cell r="S669" t="str">
            <v>Falabella Retail S.A.</v>
          </cell>
          <cell r="T669" t="str">
            <v/>
          </cell>
        </row>
        <row r="670">
          <cell r="C670" t="str">
            <v>T24C850001149</v>
          </cell>
          <cell r="D670" t="str">
            <v>A24C850001596</v>
          </cell>
          <cell r="E670">
            <v>8500000</v>
          </cell>
          <cell r="F670">
            <v>0</v>
          </cell>
          <cell r="G670" t="str">
            <v>Mobile Phone</v>
          </cell>
          <cell r="H670" t="str">
            <v>[1]HHP AON Q4 RETAIL CAMPAIGN 2024</v>
          </cell>
          <cell r="I670" t="str">
            <v>Completed</v>
          </cell>
          <cell r="J670" t="str">
            <v>m.lavanchy</v>
          </cell>
          <cell r="K670">
            <v>45566</v>
          </cell>
          <cell r="L670">
            <v>45657</v>
          </cell>
          <cell r="M670" t="str">
            <v>G1</v>
          </cell>
          <cell r="N670" t="str">
            <v>DIGITAL MEDIA</v>
          </cell>
          <cell r="O670" t="str">
            <v>A240</v>
          </cell>
          <cell r="P670" t="str">
            <v>SEARCH</v>
          </cell>
          <cell r="Q670" t="str">
            <v>2024</v>
          </cell>
          <cell r="R670" t="str">
            <v>FZX363</v>
          </cell>
          <cell r="S670" t="str">
            <v>Falabella Retail S.A.</v>
          </cell>
          <cell r="T670" t="str">
            <v/>
          </cell>
        </row>
        <row r="671">
          <cell r="C671" t="str">
            <v>T24C850001149</v>
          </cell>
          <cell r="D671" t="str">
            <v>A24C850001596</v>
          </cell>
          <cell r="E671">
            <v>8500000</v>
          </cell>
          <cell r="F671">
            <v>0</v>
          </cell>
          <cell r="G671" t="str">
            <v>Mobile Phone</v>
          </cell>
          <cell r="H671" t="str">
            <v>[1]HHP AON Q4 RETAIL CAMPAIGN 2024</v>
          </cell>
          <cell r="I671" t="str">
            <v>Completed</v>
          </cell>
          <cell r="J671" t="str">
            <v>m.lavanchy</v>
          </cell>
          <cell r="K671">
            <v>45566</v>
          </cell>
          <cell r="L671">
            <v>45657</v>
          </cell>
          <cell r="M671" t="str">
            <v>G1</v>
          </cell>
          <cell r="N671" t="str">
            <v>DIGITAL MEDIA</v>
          </cell>
          <cell r="O671" t="str">
            <v>A230</v>
          </cell>
          <cell r="P671" t="str">
            <v>SOCIAL ADS</v>
          </cell>
          <cell r="Q671" t="str">
            <v>2024</v>
          </cell>
          <cell r="R671" t="str">
            <v>FZX363</v>
          </cell>
          <cell r="S671" t="str">
            <v>Falabella Retail S.A.</v>
          </cell>
          <cell r="T671" t="str">
            <v/>
          </cell>
        </row>
        <row r="672">
          <cell r="C672" t="str">
            <v>T24C850001149</v>
          </cell>
          <cell r="D672" t="str">
            <v>A24C850001596</v>
          </cell>
          <cell r="E672">
            <v>7000000</v>
          </cell>
          <cell r="F672">
            <v>0</v>
          </cell>
          <cell r="G672" t="str">
            <v>Mobile Phone</v>
          </cell>
          <cell r="H672" t="str">
            <v>[1]HHP AON Q4 RETAIL CAMPAIGN 2024</v>
          </cell>
          <cell r="I672" t="str">
            <v>Completed</v>
          </cell>
          <cell r="J672" t="str">
            <v>m.lavanchy</v>
          </cell>
          <cell r="K672">
            <v>45566</v>
          </cell>
          <cell r="L672">
            <v>45657</v>
          </cell>
          <cell r="M672" t="str">
            <v>G1</v>
          </cell>
          <cell r="N672" t="str">
            <v>DIGITAL MEDIA</v>
          </cell>
          <cell r="O672" t="str">
            <v>A230</v>
          </cell>
          <cell r="P672" t="str">
            <v>SOCIAL ADS</v>
          </cell>
          <cell r="Q672" t="str">
            <v>2024</v>
          </cell>
          <cell r="R672" t="str">
            <v>FZX363</v>
          </cell>
          <cell r="S672" t="str">
            <v>Falabella Retail S.A.</v>
          </cell>
          <cell r="T672" t="str">
            <v/>
          </cell>
        </row>
        <row r="673">
          <cell r="C673" t="str">
            <v>T24C850001149</v>
          </cell>
          <cell r="D673" t="str">
            <v>A24C850001596</v>
          </cell>
          <cell r="E673">
            <v>8500000</v>
          </cell>
          <cell r="F673">
            <v>0</v>
          </cell>
          <cell r="G673" t="str">
            <v>Mobile Phone</v>
          </cell>
          <cell r="H673" t="str">
            <v>[1]HHP AON Q4 RETAIL CAMPAIGN 2024</v>
          </cell>
          <cell r="I673" t="str">
            <v>Completed</v>
          </cell>
          <cell r="J673" t="str">
            <v>m.lavanchy</v>
          </cell>
          <cell r="K673">
            <v>45566</v>
          </cell>
          <cell r="L673">
            <v>45657</v>
          </cell>
          <cell r="M673" t="str">
            <v>G1</v>
          </cell>
          <cell r="N673" t="str">
            <v>DIGITAL MEDIA</v>
          </cell>
          <cell r="O673" t="str">
            <v>A230</v>
          </cell>
          <cell r="P673" t="str">
            <v>SOCIAL ADS</v>
          </cell>
          <cell r="Q673" t="str">
            <v>2024</v>
          </cell>
          <cell r="R673" t="str">
            <v>FZX363</v>
          </cell>
          <cell r="S673" t="str">
            <v>Falabella Retail S.A.</v>
          </cell>
          <cell r="T673" t="str">
            <v/>
          </cell>
        </row>
        <row r="674">
          <cell r="C674" t="str">
            <v>T24C850001199</v>
          </cell>
          <cell r="D674" t="str">
            <v>A24C850001617</v>
          </cell>
          <cell r="E674">
            <v>3000000</v>
          </cell>
          <cell r="F674">
            <v>0</v>
          </cell>
          <cell r="G674" t="str">
            <v>Mobile Phone</v>
          </cell>
          <cell r="H674" t="str">
            <v>[1]SS WEEK HHP RETAILERS</v>
          </cell>
          <cell r="I674" t="str">
            <v>Completed</v>
          </cell>
          <cell r="J674" t="str">
            <v>m.lavanchy</v>
          </cell>
          <cell r="K674">
            <v>45577</v>
          </cell>
          <cell r="L674">
            <v>45657</v>
          </cell>
          <cell r="M674" t="str">
            <v>G1</v>
          </cell>
          <cell r="N674" t="str">
            <v>DIGITAL MEDIA</v>
          </cell>
          <cell r="O674" t="str">
            <v>A250</v>
          </cell>
          <cell r="P674" t="str">
            <v>DISPLAY</v>
          </cell>
          <cell r="Q674" t="str">
            <v>2024</v>
          </cell>
          <cell r="R674" t="str">
            <v>FZX363</v>
          </cell>
          <cell r="S674" t="str">
            <v>Falabella Retail S.A.</v>
          </cell>
          <cell r="T674" t="str">
            <v/>
          </cell>
        </row>
        <row r="675">
          <cell r="C675" t="str">
            <v>T24C850001204</v>
          </cell>
          <cell r="D675" t="str">
            <v>A24C850001613</v>
          </cell>
          <cell r="E675">
            <v>3000000</v>
          </cell>
          <cell r="F675">
            <v>0</v>
          </cell>
          <cell r="G675" t="str">
            <v>Mobile Phone</v>
          </cell>
          <cell r="H675" t="str">
            <v>[1]HHP S24 FE LAUNCH CAMPAIGN RETAIL OCTOBER</v>
          </cell>
          <cell r="I675" t="str">
            <v>Completed</v>
          </cell>
          <cell r="J675" t="str">
            <v>m.lavanchy</v>
          </cell>
          <cell r="K675">
            <v>45577</v>
          </cell>
          <cell r="L675">
            <v>45657</v>
          </cell>
          <cell r="M675" t="str">
            <v>G1</v>
          </cell>
          <cell r="N675" t="str">
            <v>DIGITAL MEDIA</v>
          </cell>
          <cell r="O675" t="str">
            <v>A250</v>
          </cell>
          <cell r="P675" t="str">
            <v>DISPLAY</v>
          </cell>
          <cell r="Q675" t="str">
            <v>2024</v>
          </cell>
          <cell r="R675" t="str">
            <v>FZX363</v>
          </cell>
          <cell r="S675" t="str">
            <v>Falabella Retail S.A.</v>
          </cell>
          <cell r="T675" t="str">
            <v/>
          </cell>
        </row>
        <row r="676">
          <cell r="C676" t="str">
            <v>T24C850001204</v>
          </cell>
          <cell r="D676" t="str">
            <v>A24C850001613</v>
          </cell>
          <cell r="E676">
            <v>1000000</v>
          </cell>
          <cell r="F676">
            <v>0</v>
          </cell>
          <cell r="G676" t="str">
            <v>Mobile Phone</v>
          </cell>
          <cell r="H676" t="str">
            <v>[1]HHP S24 FE LAUNCH CAMPAIGN RETAIL OCTOBER</v>
          </cell>
          <cell r="I676" t="str">
            <v>Completed</v>
          </cell>
          <cell r="J676" t="str">
            <v>m.lavanchy</v>
          </cell>
          <cell r="K676">
            <v>45577</v>
          </cell>
          <cell r="L676">
            <v>45657</v>
          </cell>
          <cell r="M676" t="str">
            <v>G1</v>
          </cell>
          <cell r="N676" t="str">
            <v>DIGITAL MEDIA</v>
          </cell>
          <cell r="O676" t="str">
            <v>A250</v>
          </cell>
          <cell r="P676" t="str">
            <v>DISPLAY</v>
          </cell>
          <cell r="Q676" t="str">
            <v>2024</v>
          </cell>
          <cell r="R676" t="str">
            <v>FZX363</v>
          </cell>
          <cell r="S676" t="str">
            <v>Falabella Retail S.A.</v>
          </cell>
          <cell r="T676" t="str">
            <v/>
          </cell>
        </row>
        <row r="677">
          <cell r="C677" t="str">
            <v>T24C850001204</v>
          </cell>
          <cell r="D677" t="str">
            <v>A24C850001613</v>
          </cell>
          <cell r="E677">
            <v>4000000</v>
          </cell>
          <cell r="F677">
            <v>0</v>
          </cell>
          <cell r="G677" t="str">
            <v>Mobile Phone</v>
          </cell>
          <cell r="H677" t="str">
            <v>[1]HHP S24 FE LAUNCH CAMPAIGN RETAIL OCTOBER</v>
          </cell>
          <cell r="I677" t="str">
            <v>Completed</v>
          </cell>
          <cell r="J677" t="str">
            <v>m.lavanchy</v>
          </cell>
          <cell r="K677">
            <v>45577</v>
          </cell>
          <cell r="L677">
            <v>45657</v>
          </cell>
          <cell r="M677" t="str">
            <v>G1</v>
          </cell>
          <cell r="N677" t="str">
            <v>DIGITAL MEDIA</v>
          </cell>
          <cell r="O677" t="str">
            <v>A240</v>
          </cell>
          <cell r="P677" t="str">
            <v>SEARCH</v>
          </cell>
          <cell r="Q677" t="str">
            <v>2024</v>
          </cell>
          <cell r="R677" t="str">
            <v>FZX363</v>
          </cell>
          <cell r="S677" t="str">
            <v>Falabella Retail S.A.</v>
          </cell>
          <cell r="T677" t="str">
            <v/>
          </cell>
        </row>
        <row r="678">
          <cell r="C678" t="str">
            <v>T24C850001204</v>
          </cell>
          <cell r="D678" t="str">
            <v>A24C850001613</v>
          </cell>
          <cell r="E678">
            <v>1500000</v>
          </cell>
          <cell r="F678">
            <v>0</v>
          </cell>
          <cell r="G678" t="str">
            <v>Mobile Phone</v>
          </cell>
          <cell r="H678" t="str">
            <v>[1]HHP S24 FE LAUNCH CAMPAIGN RETAIL OCTOBER</v>
          </cell>
          <cell r="I678" t="str">
            <v>Completed</v>
          </cell>
          <cell r="J678" t="str">
            <v>m.lavanchy</v>
          </cell>
          <cell r="K678">
            <v>45577</v>
          </cell>
          <cell r="L678">
            <v>45657</v>
          </cell>
          <cell r="M678" t="str">
            <v>G1</v>
          </cell>
          <cell r="N678" t="str">
            <v>DIGITAL MEDIA</v>
          </cell>
          <cell r="O678" t="str">
            <v>A240</v>
          </cell>
          <cell r="P678" t="str">
            <v>SEARCH</v>
          </cell>
          <cell r="Q678" t="str">
            <v>2024</v>
          </cell>
          <cell r="R678" t="str">
            <v>FZX363</v>
          </cell>
          <cell r="S678" t="str">
            <v>Falabella Retail S.A.</v>
          </cell>
          <cell r="T678" t="str">
            <v/>
          </cell>
        </row>
        <row r="679">
          <cell r="C679" t="str">
            <v>T24C850001204</v>
          </cell>
          <cell r="D679" t="str">
            <v>A24C850001613</v>
          </cell>
          <cell r="E679">
            <v>3000000</v>
          </cell>
          <cell r="F679">
            <v>0</v>
          </cell>
          <cell r="G679" t="str">
            <v>Mobile Phone</v>
          </cell>
          <cell r="H679" t="str">
            <v>[1]HHP S24 FE LAUNCH CAMPAIGN RETAIL OCTOBER</v>
          </cell>
          <cell r="I679" t="str">
            <v>Completed</v>
          </cell>
          <cell r="J679" t="str">
            <v>m.lavanchy</v>
          </cell>
          <cell r="K679">
            <v>45577</v>
          </cell>
          <cell r="L679">
            <v>45657</v>
          </cell>
          <cell r="M679" t="str">
            <v>G1</v>
          </cell>
          <cell r="N679" t="str">
            <v>DIGITAL MEDIA</v>
          </cell>
          <cell r="O679" t="str">
            <v>A230</v>
          </cell>
          <cell r="P679" t="str">
            <v>SOCIAL ADS</v>
          </cell>
          <cell r="Q679" t="str">
            <v>2024</v>
          </cell>
          <cell r="R679" t="str">
            <v>FZX363</v>
          </cell>
          <cell r="S679" t="str">
            <v>Falabella Retail S.A.</v>
          </cell>
          <cell r="T679" t="str">
            <v/>
          </cell>
        </row>
        <row r="680">
          <cell r="C680" t="str">
            <v>T24C850001204</v>
          </cell>
          <cell r="D680" t="str">
            <v>A24C850001613</v>
          </cell>
          <cell r="E680">
            <v>1000000</v>
          </cell>
          <cell r="F680">
            <v>0</v>
          </cell>
          <cell r="G680" t="str">
            <v>Mobile Phone</v>
          </cell>
          <cell r="H680" t="str">
            <v>[1]HHP S24 FE LAUNCH CAMPAIGN RETAIL OCTOBER</v>
          </cell>
          <cell r="I680" t="str">
            <v>Completed</v>
          </cell>
          <cell r="J680" t="str">
            <v>m.lavanchy</v>
          </cell>
          <cell r="K680">
            <v>45577</v>
          </cell>
          <cell r="L680">
            <v>45657</v>
          </cell>
          <cell r="M680" t="str">
            <v>G1</v>
          </cell>
          <cell r="N680" t="str">
            <v>DIGITAL MEDIA</v>
          </cell>
          <cell r="O680" t="str">
            <v>A230</v>
          </cell>
          <cell r="P680" t="str">
            <v>SOCIAL ADS</v>
          </cell>
          <cell r="Q680" t="str">
            <v>2024</v>
          </cell>
          <cell r="R680" t="str">
            <v>FZX363</v>
          </cell>
          <cell r="S680" t="str">
            <v>Falabella Retail S.A.</v>
          </cell>
          <cell r="T680" t="str">
            <v/>
          </cell>
        </row>
        <row r="681">
          <cell r="C681" t="str">
            <v>T23C850001008</v>
          </cell>
          <cell r="D681" t="str">
            <v>A23C850001537</v>
          </cell>
          <cell r="E681">
            <v>0</v>
          </cell>
          <cell r="F681">
            <v>40248630</v>
          </cell>
          <cell r="G681" t="str">
            <v>Mobile Phone</v>
          </cell>
          <cell r="H681" t="str">
            <v>[1]OLB/CAMILA.RIF/ONLINE/ MKT MERCADO LIBRE</v>
          </cell>
          <cell r="I681" t="str">
            <v>Closed</v>
          </cell>
          <cell r="J681" t="str">
            <v>camila.rif</v>
          </cell>
          <cell r="K681">
            <v>45103</v>
          </cell>
          <cell r="L681">
            <v>45109</v>
          </cell>
          <cell r="M681" t="str">
            <v>G1</v>
          </cell>
          <cell r="N681" t="str">
            <v>DIGITAL MEDIA</v>
          </cell>
          <cell r="O681" t="str">
            <v>A250</v>
          </cell>
          <cell r="P681" t="str">
            <v>DISPLAY</v>
          </cell>
          <cell r="Q681" t="str">
            <v>2024</v>
          </cell>
          <cell r="R681" t="str">
            <v>FA6CBM</v>
          </cell>
          <cell r="S681" t="str">
            <v>MERCADOLIBRE CHILE LTDA.</v>
          </cell>
          <cell r="T681" t="str">
            <v/>
          </cell>
        </row>
        <row r="682">
          <cell r="C682" t="str">
            <v>T23C850001008</v>
          </cell>
          <cell r="D682" t="str">
            <v>A23C850001537</v>
          </cell>
          <cell r="E682">
            <v>-1370</v>
          </cell>
          <cell r="F682">
            <v>0</v>
          </cell>
          <cell r="G682" t="str">
            <v>Mobile Phone</v>
          </cell>
          <cell r="H682" t="str">
            <v>[1]OLB/CAMILA.RIF/ONLINE/ MKT MERCADO LIBRE</v>
          </cell>
          <cell r="I682" t="str">
            <v>Closed</v>
          </cell>
          <cell r="J682" t="str">
            <v>camila.rif</v>
          </cell>
          <cell r="K682">
            <v>45103</v>
          </cell>
          <cell r="L682">
            <v>45109</v>
          </cell>
          <cell r="M682" t="str">
            <v>G1</v>
          </cell>
          <cell r="N682" t="str">
            <v>DIGITAL MEDIA</v>
          </cell>
          <cell r="O682" t="str">
            <v>A250</v>
          </cell>
          <cell r="P682" t="str">
            <v>DISPLAY</v>
          </cell>
          <cell r="Q682" t="str">
            <v>2024</v>
          </cell>
          <cell r="R682" t="str">
            <v>FA6CBM</v>
          </cell>
          <cell r="S682" t="str">
            <v>MERCADOLIBRE CHILE LTDA.</v>
          </cell>
          <cell r="T682" t="str">
            <v/>
          </cell>
        </row>
        <row r="683">
          <cell r="C683" t="str">
            <v>T23C850001076</v>
          </cell>
          <cell r="D683" t="str">
            <v>A23C850001625</v>
          </cell>
          <cell r="E683">
            <v>-1500000</v>
          </cell>
          <cell r="F683">
            <v>0</v>
          </cell>
          <cell r="G683" t="str">
            <v>Mobile Phone</v>
          </cell>
          <cell r="H683" t="str">
            <v>[4]SMARTPHONES/ONLINE/JULY_RETAIL.COM_23</v>
          </cell>
          <cell r="I683" t="str">
            <v>Closed</v>
          </cell>
          <cell r="J683" t="str">
            <v>sjara.mella</v>
          </cell>
          <cell r="K683">
            <v>45128</v>
          </cell>
          <cell r="L683">
            <v>45199</v>
          </cell>
          <cell r="M683" t="str">
            <v>G1</v>
          </cell>
          <cell r="N683" t="str">
            <v>DIGITAL MEDIA</v>
          </cell>
          <cell r="O683" t="str">
            <v>A240</v>
          </cell>
          <cell r="P683" t="str">
            <v>SEARCH</v>
          </cell>
          <cell r="Q683" t="str">
            <v>2024</v>
          </cell>
          <cell r="R683" t="str">
            <v>FA6CBM</v>
          </cell>
          <cell r="S683" t="str">
            <v>MERCADOLIBRE CHILE LTDA.</v>
          </cell>
          <cell r="T683" t="str">
            <v/>
          </cell>
        </row>
        <row r="684">
          <cell r="C684" t="str">
            <v>T23C850001214</v>
          </cell>
          <cell r="D684" t="str">
            <v>A23C850001827</v>
          </cell>
          <cell r="E684">
            <v>0</v>
          </cell>
          <cell r="F684">
            <v>2000000</v>
          </cell>
          <cell r="G684" t="str">
            <v>Mobile Phone</v>
          </cell>
          <cell r="H684" t="str">
            <v>[6]ALWAYS ON HHP RETAIL.COM CAMPAIGN AUGUST</v>
          </cell>
          <cell r="I684" t="str">
            <v>Closed</v>
          </cell>
          <cell r="J684" t="str">
            <v>sjara.mella</v>
          </cell>
          <cell r="K684">
            <v>45146</v>
          </cell>
          <cell r="L684">
            <v>45230</v>
          </cell>
          <cell r="M684" t="str">
            <v>G1</v>
          </cell>
          <cell r="N684" t="str">
            <v>DIGITAL MEDIA</v>
          </cell>
          <cell r="O684" t="str">
            <v>A250</v>
          </cell>
          <cell r="P684" t="str">
            <v>DISPLAY</v>
          </cell>
          <cell r="Q684" t="str">
            <v>2024</v>
          </cell>
          <cell r="R684" t="str">
            <v>FA6CBM</v>
          </cell>
          <cell r="S684" t="str">
            <v>MERCADOLIBRE CHILE LTDA.</v>
          </cell>
          <cell r="T684" t="str">
            <v/>
          </cell>
        </row>
        <row r="685">
          <cell r="C685" t="str">
            <v>T23C850001214</v>
          </cell>
          <cell r="D685" t="str">
            <v>A23C850001827</v>
          </cell>
          <cell r="E685">
            <v>0</v>
          </cell>
          <cell r="F685">
            <v>1000000</v>
          </cell>
          <cell r="G685" t="str">
            <v>Mobile Phone</v>
          </cell>
          <cell r="H685" t="str">
            <v>[6]ALWAYS ON HHP RETAIL.COM CAMPAIGN AUGUST</v>
          </cell>
          <cell r="I685" t="str">
            <v>Closed</v>
          </cell>
          <cell r="J685" t="str">
            <v>sjara.mella</v>
          </cell>
          <cell r="K685">
            <v>45146</v>
          </cell>
          <cell r="L685">
            <v>45230</v>
          </cell>
          <cell r="M685" t="str">
            <v>G1</v>
          </cell>
          <cell r="N685" t="str">
            <v>DIGITAL MEDIA</v>
          </cell>
          <cell r="O685" t="str">
            <v>A240</v>
          </cell>
          <cell r="P685" t="str">
            <v>SEARCH</v>
          </cell>
          <cell r="Q685" t="str">
            <v>2024</v>
          </cell>
          <cell r="R685" t="str">
            <v>FA6CBM</v>
          </cell>
          <cell r="S685" t="str">
            <v>MERCADOLIBRE CHILE LTDA.</v>
          </cell>
          <cell r="T685" t="str">
            <v/>
          </cell>
        </row>
        <row r="686">
          <cell r="C686" t="str">
            <v>T23C850001214</v>
          </cell>
          <cell r="D686" t="str">
            <v>A23C850001827</v>
          </cell>
          <cell r="E686">
            <v>-700000</v>
          </cell>
          <cell r="F686">
            <v>0</v>
          </cell>
          <cell r="G686" t="str">
            <v>Mobile Phone</v>
          </cell>
          <cell r="H686" t="str">
            <v>[6]ALWAYS ON HHP RETAIL.COM CAMPAIGN AUGUST</v>
          </cell>
          <cell r="I686" t="str">
            <v>Closed</v>
          </cell>
          <cell r="J686" t="str">
            <v>sjara.mella</v>
          </cell>
          <cell r="K686">
            <v>45146</v>
          </cell>
          <cell r="L686">
            <v>45230</v>
          </cell>
          <cell r="M686" t="str">
            <v>G1</v>
          </cell>
          <cell r="N686" t="str">
            <v>DIGITAL MEDIA</v>
          </cell>
          <cell r="O686" t="str">
            <v>A230</v>
          </cell>
          <cell r="P686" t="str">
            <v>SOCIAL ADS</v>
          </cell>
          <cell r="Q686" t="str">
            <v>2024</v>
          </cell>
          <cell r="R686" t="str">
            <v>FA6CBM</v>
          </cell>
          <cell r="S686" t="str">
            <v>MERCADOLIBRE CHILE LTDA.</v>
          </cell>
          <cell r="T686" t="str">
            <v/>
          </cell>
        </row>
        <row r="687">
          <cell r="C687" t="str">
            <v>T23C850001414</v>
          </cell>
          <cell r="D687" t="str">
            <v>A23C850002080</v>
          </cell>
          <cell r="E687">
            <v>0</v>
          </cell>
          <cell r="F687">
            <v>1350000</v>
          </cell>
          <cell r="G687" t="str">
            <v>Mobile Phone</v>
          </cell>
          <cell r="H687" t="str">
            <v>[4]ALWAYS ON HHP RETAIL.COM CAMPAIGN SEPTEMBER</v>
          </cell>
          <cell r="I687" t="str">
            <v>Closed</v>
          </cell>
          <cell r="J687" t="str">
            <v>sjara.mella</v>
          </cell>
          <cell r="K687">
            <v>45190</v>
          </cell>
          <cell r="L687">
            <v>45260</v>
          </cell>
          <cell r="M687" t="str">
            <v>G1</v>
          </cell>
          <cell r="N687" t="str">
            <v>DIGITAL MEDIA</v>
          </cell>
          <cell r="O687" t="str">
            <v>A250</v>
          </cell>
          <cell r="P687" t="str">
            <v>DISPLAY</v>
          </cell>
          <cell r="Q687" t="str">
            <v>2024</v>
          </cell>
          <cell r="R687" t="str">
            <v>FA6CBM</v>
          </cell>
          <cell r="S687" t="str">
            <v>MERCADOLIBRE CHILE LTDA.</v>
          </cell>
          <cell r="T687" t="str">
            <v/>
          </cell>
        </row>
        <row r="688">
          <cell r="C688" t="str">
            <v>T23C850001414</v>
          </cell>
          <cell r="D688" t="str">
            <v>A23C850002080</v>
          </cell>
          <cell r="E688">
            <v>0</v>
          </cell>
          <cell r="F688">
            <v>1349720</v>
          </cell>
          <cell r="G688" t="str">
            <v>Mobile Phone</v>
          </cell>
          <cell r="H688" t="str">
            <v>[4]ALWAYS ON HHP RETAIL.COM CAMPAIGN SEPTEMBER</v>
          </cell>
          <cell r="I688" t="str">
            <v>Closed</v>
          </cell>
          <cell r="J688" t="str">
            <v>sjara.mella</v>
          </cell>
          <cell r="K688">
            <v>45190</v>
          </cell>
          <cell r="L688">
            <v>45260</v>
          </cell>
          <cell r="M688" t="str">
            <v>G1</v>
          </cell>
          <cell r="N688" t="str">
            <v>DIGITAL MEDIA</v>
          </cell>
          <cell r="O688" t="str">
            <v>A240</v>
          </cell>
          <cell r="P688" t="str">
            <v>SEARCH</v>
          </cell>
          <cell r="Q688" t="str">
            <v>2024</v>
          </cell>
          <cell r="R688" t="str">
            <v>FA6CBM</v>
          </cell>
          <cell r="S688" t="str">
            <v>MERCADOLIBRE CHILE LTDA.</v>
          </cell>
          <cell r="T688" t="str">
            <v/>
          </cell>
        </row>
        <row r="689">
          <cell r="C689" t="str">
            <v>T23C850001414</v>
          </cell>
          <cell r="D689" t="str">
            <v>A23C850002080</v>
          </cell>
          <cell r="E689">
            <v>-280</v>
          </cell>
          <cell r="F689">
            <v>0</v>
          </cell>
          <cell r="G689" t="str">
            <v>Mobile Phone</v>
          </cell>
          <cell r="H689" t="str">
            <v>[4]ALWAYS ON HHP RETAIL.COM CAMPAIGN SEPTEMBER</v>
          </cell>
          <cell r="I689" t="str">
            <v>Closed</v>
          </cell>
          <cell r="J689" t="str">
            <v>sjara.mella</v>
          </cell>
          <cell r="K689">
            <v>45190</v>
          </cell>
          <cell r="L689">
            <v>45260</v>
          </cell>
          <cell r="M689" t="str">
            <v>G1</v>
          </cell>
          <cell r="N689" t="str">
            <v>DIGITAL MEDIA</v>
          </cell>
          <cell r="O689" t="str">
            <v>A240</v>
          </cell>
          <cell r="P689" t="str">
            <v>SEARCH</v>
          </cell>
          <cell r="Q689" t="str">
            <v>2024</v>
          </cell>
          <cell r="R689" t="str">
            <v>FA6CBM</v>
          </cell>
          <cell r="S689" t="str">
            <v>MERCADOLIBRE CHILE LTDA.</v>
          </cell>
          <cell r="T689" t="str">
            <v/>
          </cell>
        </row>
        <row r="690">
          <cell r="C690" t="str">
            <v>T23C850001472</v>
          </cell>
          <cell r="D690" t="str">
            <v>A23C850002130</v>
          </cell>
          <cell r="E690">
            <v>0</v>
          </cell>
          <cell r="F690">
            <v>10000000</v>
          </cell>
          <cell r="G690" t="str">
            <v>Mobile Phone</v>
          </cell>
          <cell r="H690" t="str">
            <v>[6]RETAIL HHP OCTOBER CAMPAIGN</v>
          </cell>
          <cell r="I690" t="str">
            <v>Closed</v>
          </cell>
          <cell r="J690" t="str">
            <v>r.gonzalezs</v>
          </cell>
          <cell r="K690">
            <v>45200</v>
          </cell>
          <cell r="L690">
            <v>45260</v>
          </cell>
          <cell r="M690" t="str">
            <v>G1</v>
          </cell>
          <cell r="N690" t="str">
            <v>DIGITAL MEDIA</v>
          </cell>
          <cell r="O690" t="str">
            <v>A240</v>
          </cell>
          <cell r="P690" t="str">
            <v>SEARCH</v>
          </cell>
          <cell r="Q690" t="str">
            <v>2024</v>
          </cell>
          <cell r="R690" t="str">
            <v>FA6CBM</v>
          </cell>
          <cell r="S690" t="str">
            <v>MERCADOLIBRE CHILE LTDA.</v>
          </cell>
          <cell r="T690" t="str">
            <v/>
          </cell>
        </row>
        <row r="691">
          <cell r="C691" t="str">
            <v>T23C850001472</v>
          </cell>
          <cell r="D691" t="str">
            <v>A23C850002130</v>
          </cell>
          <cell r="E691">
            <v>-10000000</v>
          </cell>
          <cell r="F691">
            <v>0</v>
          </cell>
          <cell r="G691" t="str">
            <v>Mobile Phone</v>
          </cell>
          <cell r="H691" t="str">
            <v>[6]RETAIL HHP OCTOBER CAMPAIGN</v>
          </cell>
          <cell r="I691" t="str">
            <v>Closed</v>
          </cell>
          <cell r="J691" t="str">
            <v>r.gonzalezs</v>
          </cell>
          <cell r="K691">
            <v>45200</v>
          </cell>
          <cell r="L691">
            <v>45260</v>
          </cell>
          <cell r="M691" t="str">
            <v>G1</v>
          </cell>
          <cell r="N691" t="str">
            <v>DIGITAL MEDIA</v>
          </cell>
          <cell r="O691" t="str">
            <v>A230</v>
          </cell>
          <cell r="P691" t="str">
            <v>SOCIAL ADS</v>
          </cell>
          <cell r="Q691" t="str">
            <v>2024</v>
          </cell>
          <cell r="R691" t="str">
            <v>FA6CBM</v>
          </cell>
          <cell r="S691" t="str">
            <v>MERCADOLIBRE CHILE LTDA.</v>
          </cell>
          <cell r="T691" t="str">
            <v/>
          </cell>
        </row>
        <row r="692">
          <cell r="C692" t="str">
            <v>T23C850001505</v>
          </cell>
          <cell r="D692" t="str">
            <v>A23C850002189</v>
          </cell>
          <cell r="E692">
            <v>0</v>
          </cell>
          <cell r="F692">
            <v>494744</v>
          </cell>
          <cell r="G692" t="str">
            <v>Mobile Phone</v>
          </cell>
          <cell r="H692" t="str">
            <v>[8]WRBLS/RETAIL/Q4 CAMPAIGNS</v>
          </cell>
          <cell r="I692" t="str">
            <v>Completed</v>
          </cell>
          <cell r="J692" t="str">
            <v>j.albornoz</v>
          </cell>
          <cell r="K692">
            <v>45200</v>
          </cell>
          <cell r="L692">
            <v>45291</v>
          </cell>
          <cell r="M692" t="str">
            <v>G1</v>
          </cell>
          <cell r="N692" t="str">
            <v>DIGITAL MEDIA</v>
          </cell>
          <cell r="O692" t="str">
            <v>A240</v>
          </cell>
          <cell r="P692" t="str">
            <v>SEARCH</v>
          </cell>
          <cell r="Q692" t="str">
            <v>2024</v>
          </cell>
          <cell r="R692" t="str">
            <v>FA6CBM</v>
          </cell>
          <cell r="S692" t="str">
            <v>MERCADOLIBRE CHILE LTDA.</v>
          </cell>
          <cell r="T692" t="str">
            <v/>
          </cell>
        </row>
        <row r="693">
          <cell r="C693" t="str">
            <v>T23C850001517</v>
          </cell>
          <cell r="D693" t="str">
            <v>A23C850002181</v>
          </cell>
          <cell r="E693">
            <v>0</v>
          </cell>
          <cell r="F693">
            <v>1000000</v>
          </cell>
          <cell r="G693" t="str">
            <v>Computer</v>
          </cell>
          <cell r="H693" t="str">
            <v>[7]NPC/RETAIL/Q4 CAMPAIGNS</v>
          </cell>
          <cell r="I693" t="str">
            <v>Completed</v>
          </cell>
          <cell r="J693" t="str">
            <v>j.albornoz</v>
          </cell>
          <cell r="K693">
            <v>45200</v>
          </cell>
          <cell r="L693">
            <v>45291</v>
          </cell>
          <cell r="M693" t="str">
            <v>C3</v>
          </cell>
          <cell r="N693" t="str">
            <v>DIGITAL MEDIA</v>
          </cell>
          <cell r="O693" t="str">
            <v>A240</v>
          </cell>
          <cell r="P693" t="str">
            <v>SEARCH</v>
          </cell>
          <cell r="Q693" t="str">
            <v>2024</v>
          </cell>
          <cell r="R693" t="str">
            <v>FA6CBM</v>
          </cell>
          <cell r="S693" t="str">
            <v>MERCADOLIBRE CHILE LTDA.</v>
          </cell>
          <cell r="T693" t="str">
            <v/>
          </cell>
        </row>
        <row r="694">
          <cell r="C694" t="str">
            <v>T23C850001521</v>
          </cell>
          <cell r="D694" t="str">
            <v>A23C850002177</v>
          </cell>
          <cell r="E694">
            <v>0</v>
          </cell>
          <cell r="F694">
            <v>1000000</v>
          </cell>
          <cell r="G694" t="str">
            <v>Mobile Phone</v>
          </cell>
          <cell r="H694" t="str">
            <v>[8]TAB/RETAIL/Q4 CAMPAIGNS</v>
          </cell>
          <cell r="I694" t="str">
            <v>Completed</v>
          </cell>
          <cell r="J694" t="str">
            <v>j.albornoz</v>
          </cell>
          <cell r="K694">
            <v>45200</v>
          </cell>
          <cell r="L694">
            <v>45291</v>
          </cell>
          <cell r="M694" t="str">
            <v>G1</v>
          </cell>
          <cell r="N694" t="str">
            <v>DIGITAL MEDIA</v>
          </cell>
          <cell r="O694" t="str">
            <v>A240</v>
          </cell>
          <cell r="P694" t="str">
            <v>SEARCH</v>
          </cell>
          <cell r="Q694" t="str">
            <v>2024</v>
          </cell>
          <cell r="R694" t="str">
            <v>FA6CBM</v>
          </cell>
          <cell r="S694" t="str">
            <v>MERCADOLIBRE CHILE LTDA.</v>
          </cell>
          <cell r="T694" t="str">
            <v/>
          </cell>
        </row>
        <row r="695">
          <cell r="C695" t="str">
            <v>T23C850001646</v>
          </cell>
          <cell r="D695" t="str">
            <v>A23C850002329</v>
          </cell>
          <cell r="E695">
            <v>-10000000</v>
          </cell>
          <cell r="F695">
            <v>0</v>
          </cell>
          <cell r="G695" t="str">
            <v>Computer</v>
          </cell>
          <cell r="H695" t="str">
            <v>[1]HHP, TAB, NPC, WRBL/ MERCADO LIBRE ONLINE/NOVEMBER-DECEMBER_RETAIL.COM_23</v>
          </cell>
          <cell r="I695" t="str">
            <v>Closed</v>
          </cell>
          <cell r="J695" t="str">
            <v>r.gonzalezs</v>
          </cell>
          <cell r="K695">
            <v>45231</v>
          </cell>
          <cell r="L695">
            <v>45291</v>
          </cell>
          <cell r="M695" t="str">
            <v>C3</v>
          </cell>
          <cell r="N695" t="str">
            <v>DIGITAL MEDIA</v>
          </cell>
          <cell r="O695" t="str">
            <v>A240</v>
          </cell>
          <cell r="P695" t="str">
            <v>SEARCH</v>
          </cell>
          <cell r="Q695" t="str">
            <v>2024</v>
          </cell>
          <cell r="R695" t="str">
            <v>FA6CBM</v>
          </cell>
          <cell r="S695" t="str">
            <v>MERCADOLIBRE CHILE LTDA.</v>
          </cell>
          <cell r="T695" t="str">
            <v/>
          </cell>
        </row>
        <row r="696">
          <cell r="C696" t="str">
            <v>T23C850001646</v>
          </cell>
          <cell r="D696" t="str">
            <v>A23C850002329</v>
          </cell>
          <cell r="E696">
            <v>0</v>
          </cell>
          <cell r="F696">
            <v>506065</v>
          </cell>
          <cell r="G696" t="str">
            <v>Computer</v>
          </cell>
          <cell r="H696" t="str">
            <v>[1]HHP, TAB, NPC, WRBL/ MERCADO LIBRE ONLINE/NOVEMBER-DECEMBER_RETAIL.COM_23</v>
          </cell>
          <cell r="I696" t="str">
            <v>Closed</v>
          </cell>
          <cell r="J696" t="str">
            <v>r.gonzalezs</v>
          </cell>
          <cell r="K696">
            <v>45231</v>
          </cell>
          <cell r="L696">
            <v>45291</v>
          </cell>
          <cell r="M696" t="str">
            <v>C3</v>
          </cell>
          <cell r="N696" t="str">
            <v>DIGITAL MEDIA</v>
          </cell>
          <cell r="O696" t="str">
            <v>A250</v>
          </cell>
          <cell r="P696" t="str">
            <v>DISPLAY</v>
          </cell>
          <cell r="Q696" t="str">
            <v>2024</v>
          </cell>
          <cell r="R696" t="str">
            <v>FA6CBM</v>
          </cell>
          <cell r="S696" t="str">
            <v>MERCADOLIBRE CHILE LTDA.</v>
          </cell>
          <cell r="T696" t="str">
            <v/>
          </cell>
        </row>
        <row r="697">
          <cell r="C697" t="str">
            <v>T23C850001646</v>
          </cell>
          <cell r="D697" t="str">
            <v>A23C850002329</v>
          </cell>
          <cell r="E697">
            <v>-3993935</v>
          </cell>
          <cell r="F697">
            <v>0</v>
          </cell>
          <cell r="G697" t="str">
            <v>Computer</v>
          </cell>
          <cell r="H697" t="str">
            <v>[1]HHP, TAB, NPC, WRBL/ MERCADO LIBRE ONLINE/NOVEMBER-DECEMBER_RETAIL.COM_23</v>
          </cell>
          <cell r="I697" t="str">
            <v>Closed</v>
          </cell>
          <cell r="J697" t="str">
            <v>r.gonzalezs</v>
          </cell>
          <cell r="K697">
            <v>45231</v>
          </cell>
          <cell r="L697">
            <v>45291</v>
          </cell>
          <cell r="M697" t="str">
            <v>C3</v>
          </cell>
          <cell r="N697" t="str">
            <v>DIGITAL MEDIA</v>
          </cell>
          <cell r="O697" t="str">
            <v>A250</v>
          </cell>
          <cell r="P697" t="str">
            <v>DISPLAY</v>
          </cell>
          <cell r="Q697" t="str">
            <v>2024</v>
          </cell>
          <cell r="R697" t="str">
            <v>FA6CBM</v>
          </cell>
          <cell r="S697" t="str">
            <v>MERCADOLIBRE CHILE LTDA.</v>
          </cell>
          <cell r="T697" t="str">
            <v/>
          </cell>
        </row>
        <row r="698">
          <cell r="C698" t="str">
            <v>T23C850001646</v>
          </cell>
          <cell r="D698" t="str">
            <v>A23C850002329</v>
          </cell>
          <cell r="E698">
            <v>0</v>
          </cell>
          <cell r="F698">
            <v>68946219</v>
          </cell>
          <cell r="G698" t="str">
            <v>Mobile Phone</v>
          </cell>
          <cell r="H698" t="str">
            <v>[1]HHP, TAB, NPC, WRBL/ MERCADO LIBRE ONLINE/NOVEMBER-DECEMBER_RETAIL.COM_23</v>
          </cell>
          <cell r="I698" t="str">
            <v>Closed</v>
          </cell>
          <cell r="J698" t="str">
            <v>r.gonzalezs</v>
          </cell>
          <cell r="K698">
            <v>45231</v>
          </cell>
          <cell r="L698">
            <v>45291</v>
          </cell>
          <cell r="M698" t="str">
            <v>G1</v>
          </cell>
          <cell r="N698" t="str">
            <v>DIGITAL MEDIA</v>
          </cell>
          <cell r="O698" t="str">
            <v>A250</v>
          </cell>
          <cell r="P698" t="str">
            <v>DISPLAY</v>
          </cell>
          <cell r="Q698" t="str">
            <v>2024</v>
          </cell>
          <cell r="R698" t="str">
            <v>FA6CBM</v>
          </cell>
          <cell r="S698" t="str">
            <v>MERCADOLIBRE CHILE LTDA.</v>
          </cell>
          <cell r="T698" t="str">
            <v/>
          </cell>
        </row>
        <row r="699">
          <cell r="C699" t="str">
            <v>T23C850001646</v>
          </cell>
          <cell r="D699" t="str">
            <v>A23C850002329</v>
          </cell>
          <cell r="E699">
            <v>-23053781</v>
          </cell>
          <cell r="F699">
            <v>0</v>
          </cell>
          <cell r="G699" t="str">
            <v>Mobile Phone</v>
          </cell>
          <cell r="H699" t="str">
            <v>[1]HHP, TAB, NPC, WRBL/ MERCADO LIBRE ONLINE/NOVEMBER-DECEMBER_RETAIL.COM_23</v>
          </cell>
          <cell r="I699" t="str">
            <v>Closed</v>
          </cell>
          <cell r="J699" t="str">
            <v>r.gonzalezs</v>
          </cell>
          <cell r="K699">
            <v>45231</v>
          </cell>
          <cell r="L699">
            <v>45291</v>
          </cell>
          <cell r="M699" t="str">
            <v>G1</v>
          </cell>
          <cell r="N699" t="str">
            <v>DIGITAL MEDIA</v>
          </cell>
          <cell r="O699" t="str">
            <v>A250</v>
          </cell>
          <cell r="P699" t="str">
            <v>DISPLAY</v>
          </cell>
          <cell r="Q699" t="str">
            <v>2024</v>
          </cell>
          <cell r="R699" t="str">
            <v>FA6CBM</v>
          </cell>
          <cell r="S699" t="str">
            <v>MERCADOLIBRE CHILE LTDA.</v>
          </cell>
          <cell r="T699" t="str">
            <v/>
          </cell>
        </row>
        <row r="700">
          <cell r="C700" t="str">
            <v>T23C850001646</v>
          </cell>
          <cell r="D700" t="str">
            <v>A23C850002329</v>
          </cell>
          <cell r="E700">
            <v>-88000000</v>
          </cell>
          <cell r="F700">
            <v>0</v>
          </cell>
          <cell r="G700" t="str">
            <v>Mobile Phone</v>
          </cell>
          <cell r="H700" t="str">
            <v>[1]HHP, TAB, NPC, WRBL/ MERCADO LIBRE ONLINE/NOVEMBER-DECEMBER_RETAIL.COM_23</v>
          </cell>
          <cell r="I700" t="str">
            <v>Closed</v>
          </cell>
          <cell r="J700" t="str">
            <v>r.gonzalezs</v>
          </cell>
          <cell r="K700">
            <v>45231</v>
          </cell>
          <cell r="L700">
            <v>45291</v>
          </cell>
          <cell r="M700" t="str">
            <v>G1</v>
          </cell>
          <cell r="N700" t="str">
            <v>DIGITAL MEDIA</v>
          </cell>
          <cell r="O700" t="str">
            <v>A240</v>
          </cell>
          <cell r="P700" t="str">
            <v>SEARCH</v>
          </cell>
          <cell r="Q700" t="str">
            <v>2024</v>
          </cell>
          <cell r="R700" t="str">
            <v>FA6CBM</v>
          </cell>
          <cell r="S700" t="str">
            <v>MERCADOLIBRE CHILE LTDA.</v>
          </cell>
          <cell r="T700" t="str">
            <v/>
          </cell>
        </row>
        <row r="701">
          <cell r="C701" t="str">
            <v>T23C850001646</v>
          </cell>
          <cell r="D701" t="str">
            <v>A23C850002329</v>
          </cell>
          <cell r="E701">
            <v>-12000000</v>
          </cell>
          <cell r="F701">
            <v>0</v>
          </cell>
          <cell r="G701" t="str">
            <v>Mobile Phone</v>
          </cell>
          <cell r="H701" t="str">
            <v>[1]HHP, TAB, NPC, WRBL/ MERCADO LIBRE ONLINE/NOVEMBER-DECEMBER_RETAIL.COM_23</v>
          </cell>
          <cell r="I701" t="str">
            <v>Closed</v>
          </cell>
          <cell r="J701" t="str">
            <v>r.gonzalezs</v>
          </cell>
          <cell r="K701">
            <v>45231</v>
          </cell>
          <cell r="L701">
            <v>45291</v>
          </cell>
          <cell r="M701" t="str">
            <v>G1</v>
          </cell>
          <cell r="N701" t="str">
            <v>DIGITAL MEDIA</v>
          </cell>
          <cell r="O701" t="str">
            <v>A250</v>
          </cell>
          <cell r="P701" t="str">
            <v>DISPLAY</v>
          </cell>
          <cell r="Q701" t="str">
            <v>2024</v>
          </cell>
          <cell r="R701" t="str">
            <v>FA6CBM</v>
          </cell>
          <cell r="S701" t="str">
            <v>MERCADOLIBRE CHILE LTDA.</v>
          </cell>
          <cell r="T701" t="str">
            <v/>
          </cell>
        </row>
        <row r="702">
          <cell r="C702" t="str">
            <v>T23C850001646</v>
          </cell>
          <cell r="D702" t="str">
            <v>A23C850002329</v>
          </cell>
          <cell r="E702">
            <v>-10500000</v>
          </cell>
          <cell r="F702">
            <v>0</v>
          </cell>
          <cell r="G702" t="str">
            <v>Mobile Phone</v>
          </cell>
          <cell r="H702" t="str">
            <v>[1]HHP, TAB, NPC, WRBL/ MERCADO LIBRE ONLINE/NOVEMBER-DECEMBER_RETAIL.COM_23</v>
          </cell>
          <cell r="I702" t="str">
            <v>Closed</v>
          </cell>
          <cell r="J702" t="str">
            <v>r.gonzalezs</v>
          </cell>
          <cell r="K702">
            <v>45231</v>
          </cell>
          <cell r="L702">
            <v>45291</v>
          </cell>
          <cell r="M702" t="str">
            <v>G1</v>
          </cell>
          <cell r="N702" t="str">
            <v>DIGITAL MEDIA</v>
          </cell>
          <cell r="O702" t="str">
            <v>A240</v>
          </cell>
          <cell r="P702" t="str">
            <v>SEARCH</v>
          </cell>
          <cell r="Q702" t="str">
            <v>2024</v>
          </cell>
          <cell r="R702" t="str">
            <v>FA6CBM</v>
          </cell>
          <cell r="S702" t="str">
            <v>MERCADOLIBRE CHILE LTDA.</v>
          </cell>
          <cell r="T702" t="str">
            <v/>
          </cell>
        </row>
        <row r="703">
          <cell r="C703" t="str">
            <v>T23C850001646</v>
          </cell>
          <cell r="D703" t="str">
            <v>A23C850002329</v>
          </cell>
          <cell r="E703">
            <v>-9000000</v>
          </cell>
          <cell r="F703">
            <v>0</v>
          </cell>
          <cell r="G703" t="str">
            <v>Mobile Phone</v>
          </cell>
          <cell r="H703" t="str">
            <v>[1]HHP, TAB, NPC, WRBL/ MERCADO LIBRE ONLINE/NOVEMBER-DECEMBER_RETAIL.COM_23</v>
          </cell>
          <cell r="I703" t="str">
            <v>Closed</v>
          </cell>
          <cell r="J703" t="str">
            <v>r.gonzalezs</v>
          </cell>
          <cell r="K703">
            <v>45231</v>
          </cell>
          <cell r="L703">
            <v>45291</v>
          </cell>
          <cell r="M703" t="str">
            <v>G1</v>
          </cell>
          <cell r="N703" t="str">
            <v>DIGITAL MEDIA</v>
          </cell>
          <cell r="O703" t="str">
            <v>A250</v>
          </cell>
          <cell r="P703" t="str">
            <v>DISPLAY</v>
          </cell>
          <cell r="Q703" t="str">
            <v>2024</v>
          </cell>
          <cell r="R703" t="str">
            <v>FA6CBM</v>
          </cell>
          <cell r="S703" t="str">
            <v>MERCADOLIBRE CHILE LTDA.</v>
          </cell>
          <cell r="T703" t="str">
            <v/>
          </cell>
        </row>
        <row r="704">
          <cell r="C704" t="str">
            <v>T23C850001646</v>
          </cell>
          <cell r="D704" t="str">
            <v>A23C850002329</v>
          </cell>
          <cell r="E704">
            <v>-7000000</v>
          </cell>
          <cell r="F704">
            <v>0</v>
          </cell>
          <cell r="G704" t="str">
            <v>Mobile Phone</v>
          </cell>
          <cell r="H704" t="str">
            <v>[1]HHP, TAB, NPC, WRBL/ MERCADO LIBRE ONLINE/NOVEMBER-DECEMBER_RETAIL.COM_23</v>
          </cell>
          <cell r="I704" t="str">
            <v>Closed</v>
          </cell>
          <cell r="J704" t="str">
            <v>r.gonzalezs</v>
          </cell>
          <cell r="K704">
            <v>45231</v>
          </cell>
          <cell r="L704">
            <v>45291</v>
          </cell>
          <cell r="M704" t="str">
            <v>G1</v>
          </cell>
          <cell r="N704" t="str">
            <v>DIGITAL MEDIA</v>
          </cell>
          <cell r="O704" t="str">
            <v>A240</v>
          </cell>
          <cell r="P704" t="str">
            <v>SEARCH</v>
          </cell>
          <cell r="Q704" t="str">
            <v>2024</v>
          </cell>
          <cell r="R704" t="str">
            <v>FA6CBM</v>
          </cell>
          <cell r="S704" t="str">
            <v>MERCADOLIBRE CHILE LTDA.</v>
          </cell>
          <cell r="T704" t="str">
            <v/>
          </cell>
        </row>
        <row r="705">
          <cell r="C705" t="str">
            <v>T23C850001718</v>
          </cell>
          <cell r="D705" t="str">
            <v>A23C850002429</v>
          </cell>
          <cell r="E705">
            <v>0</v>
          </cell>
          <cell r="F705">
            <v>10000000</v>
          </cell>
          <cell r="G705" t="str">
            <v>Mobile Phone</v>
          </cell>
          <cell r="H705" t="str">
            <v>[1]PROMOTION PLAN AON NOVEMBER MELI</v>
          </cell>
          <cell r="I705" t="str">
            <v>Closed</v>
          </cell>
          <cell r="J705" t="str">
            <v>r.gonzalezs</v>
          </cell>
          <cell r="K705">
            <v>45258</v>
          </cell>
          <cell r="L705">
            <v>45291</v>
          </cell>
          <cell r="M705" t="str">
            <v>G1</v>
          </cell>
          <cell r="N705" t="str">
            <v>DIGITAL MEDIA</v>
          </cell>
          <cell r="O705" t="str">
            <v>A250</v>
          </cell>
          <cell r="P705" t="str">
            <v>DISPLAY</v>
          </cell>
          <cell r="Q705" t="str">
            <v>2024</v>
          </cell>
          <cell r="R705" t="str">
            <v>FA6CBM</v>
          </cell>
          <cell r="S705" t="str">
            <v>MERCADOLIBRE CHILE LTDA.</v>
          </cell>
          <cell r="T705" t="str">
            <v/>
          </cell>
        </row>
        <row r="706">
          <cell r="C706" t="str">
            <v>T24C850000093</v>
          </cell>
          <cell r="D706" t="str">
            <v>A24C850000149</v>
          </cell>
          <cell r="E706">
            <v>246333</v>
          </cell>
          <cell r="F706">
            <v>0</v>
          </cell>
          <cell r="G706" t="str">
            <v>Mobile Phone</v>
          </cell>
          <cell r="H706" t="str">
            <v>[4]HHP AON CAMPAIGN RETAILERS JANUARY</v>
          </cell>
          <cell r="I706" t="str">
            <v>Closed</v>
          </cell>
          <cell r="J706" t="str">
            <v>fernandez.r</v>
          </cell>
          <cell r="K706">
            <v>45301</v>
          </cell>
          <cell r="L706">
            <v>45382</v>
          </cell>
          <cell r="M706" t="str">
            <v>G1</v>
          </cell>
          <cell r="N706" t="str">
            <v>DIGITAL MEDIA</v>
          </cell>
          <cell r="O706" t="str">
            <v>A250</v>
          </cell>
          <cell r="P706" t="str">
            <v>DISPLAY</v>
          </cell>
          <cell r="Q706" t="str">
            <v>2024</v>
          </cell>
          <cell r="R706" t="str">
            <v>FA6CBM</v>
          </cell>
          <cell r="S706" t="str">
            <v>MERCADOLIBRE CHILE LTDA.</v>
          </cell>
          <cell r="T706" t="str">
            <v/>
          </cell>
        </row>
        <row r="707">
          <cell r="C707" t="str">
            <v>T24C850000093</v>
          </cell>
          <cell r="D707" t="str">
            <v>A24C850000149</v>
          </cell>
          <cell r="E707">
            <v>621332</v>
          </cell>
          <cell r="F707">
            <v>0</v>
          </cell>
          <cell r="G707" t="str">
            <v>Mobile Phone</v>
          </cell>
          <cell r="H707" t="str">
            <v>[4]HHP AON CAMPAIGN RETAILERS JANUARY</v>
          </cell>
          <cell r="I707" t="str">
            <v>Closed</v>
          </cell>
          <cell r="J707" t="str">
            <v>fernandez.r</v>
          </cell>
          <cell r="K707">
            <v>45301</v>
          </cell>
          <cell r="L707">
            <v>45382</v>
          </cell>
          <cell r="M707" t="str">
            <v>G1</v>
          </cell>
          <cell r="N707" t="str">
            <v>DIGITAL MEDIA</v>
          </cell>
          <cell r="O707" t="str">
            <v>A250</v>
          </cell>
          <cell r="P707" t="str">
            <v>DISPLAY</v>
          </cell>
          <cell r="Q707" t="str">
            <v>2024</v>
          </cell>
          <cell r="R707" t="str">
            <v>FA6CBM</v>
          </cell>
          <cell r="S707" t="str">
            <v>MERCADOLIBRE CHILE LTDA.</v>
          </cell>
          <cell r="T707" t="str">
            <v/>
          </cell>
        </row>
        <row r="708">
          <cell r="C708" t="str">
            <v>T24C850000093</v>
          </cell>
          <cell r="D708" t="str">
            <v>A24C850000149</v>
          </cell>
          <cell r="E708">
            <v>0</v>
          </cell>
          <cell r="F708">
            <v>867665</v>
          </cell>
          <cell r="G708" t="str">
            <v>Mobile Phone</v>
          </cell>
          <cell r="H708" t="str">
            <v>[4]HHP AON CAMPAIGN RETAILERS JANUARY</v>
          </cell>
          <cell r="I708" t="str">
            <v>Closed</v>
          </cell>
          <cell r="J708" t="str">
            <v>fernandez.r</v>
          </cell>
          <cell r="K708">
            <v>45301</v>
          </cell>
          <cell r="L708">
            <v>45382</v>
          </cell>
          <cell r="M708" t="str">
            <v>G1</v>
          </cell>
          <cell r="N708" t="str">
            <v>DIGITAL MEDIA</v>
          </cell>
          <cell r="O708" t="str">
            <v>A250</v>
          </cell>
          <cell r="P708" t="str">
            <v>DISPLAY</v>
          </cell>
          <cell r="Q708" t="str">
            <v>2024</v>
          </cell>
          <cell r="R708" t="str">
            <v>FA6CBM</v>
          </cell>
          <cell r="S708" t="str">
            <v>MERCADOLIBRE CHILE LTDA.</v>
          </cell>
          <cell r="T708" t="str">
            <v/>
          </cell>
        </row>
        <row r="709">
          <cell r="C709" t="str">
            <v>T24C850000093</v>
          </cell>
          <cell r="D709" t="str">
            <v>A24C850000149</v>
          </cell>
          <cell r="E709">
            <v>246333</v>
          </cell>
          <cell r="F709">
            <v>0</v>
          </cell>
          <cell r="G709" t="str">
            <v>Mobile Phone</v>
          </cell>
          <cell r="H709" t="str">
            <v>[4]HHP AON CAMPAIGN RETAILERS JANUARY</v>
          </cell>
          <cell r="I709" t="str">
            <v>Closed</v>
          </cell>
          <cell r="J709" t="str">
            <v>fernandez.r</v>
          </cell>
          <cell r="K709">
            <v>45301</v>
          </cell>
          <cell r="L709">
            <v>45382</v>
          </cell>
          <cell r="M709" t="str">
            <v>G1</v>
          </cell>
          <cell r="N709" t="str">
            <v>DIGITAL MEDIA</v>
          </cell>
          <cell r="O709" t="str">
            <v>A240</v>
          </cell>
          <cell r="P709" t="str">
            <v>SEARCH</v>
          </cell>
          <cell r="Q709" t="str">
            <v>2024</v>
          </cell>
          <cell r="R709" t="str">
            <v>FA6CBM</v>
          </cell>
          <cell r="S709" t="str">
            <v>MERCADOLIBRE CHILE LTDA.</v>
          </cell>
          <cell r="T709" t="str">
            <v/>
          </cell>
        </row>
        <row r="710">
          <cell r="C710" t="str">
            <v>T24C850000093</v>
          </cell>
          <cell r="D710" t="str">
            <v>A24C850000149</v>
          </cell>
          <cell r="E710">
            <v>621333</v>
          </cell>
          <cell r="F710">
            <v>0</v>
          </cell>
          <cell r="G710" t="str">
            <v>Mobile Phone</v>
          </cell>
          <cell r="H710" t="str">
            <v>[4]HHP AON CAMPAIGN RETAILERS JANUARY</v>
          </cell>
          <cell r="I710" t="str">
            <v>Closed</v>
          </cell>
          <cell r="J710" t="str">
            <v>fernandez.r</v>
          </cell>
          <cell r="K710">
            <v>45301</v>
          </cell>
          <cell r="L710">
            <v>45382</v>
          </cell>
          <cell r="M710" t="str">
            <v>G1</v>
          </cell>
          <cell r="N710" t="str">
            <v>DIGITAL MEDIA</v>
          </cell>
          <cell r="O710" t="str">
            <v>A240</v>
          </cell>
          <cell r="P710" t="str">
            <v>SEARCH</v>
          </cell>
          <cell r="Q710" t="str">
            <v>2024</v>
          </cell>
          <cell r="R710" t="str">
            <v>FA6CBM</v>
          </cell>
          <cell r="S710" t="str">
            <v>MERCADOLIBRE CHILE LTDA.</v>
          </cell>
          <cell r="T710" t="str">
            <v/>
          </cell>
        </row>
        <row r="711">
          <cell r="C711" t="str">
            <v>T24C850000093</v>
          </cell>
          <cell r="D711" t="str">
            <v>A24C850000149</v>
          </cell>
          <cell r="E711">
            <v>0</v>
          </cell>
          <cell r="F711">
            <v>867666</v>
          </cell>
          <cell r="G711" t="str">
            <v>Mobile Phone</v>
          </cell>
          <cell r="H711" t="str">
            <v>[4]HHP AON CAMPAIGN RETAILERS JANUARY</v>
          </cell>
          <cell r="I711" t="str">
            <v>Closed</v>
          </cell>
          <cell r="J711" t="str">
            <v>fernandez.r</v>
          </cell>
          <cell r="K711">
            <v>45301</v>
          </cell>
          <cell r="L711">
            <v>45382</v>
          </cell>
          <cell r="M711" t="str">
            <v>G1</v>
          </cell>
          <cell r="N711" t="str">
            <v>DIGITAL MEDIA</v>
          </cell>
          <cell r="O711" t="str">
            <v>A240</v>
          </cell>
          <cell r="P711" t="str">
            <v>SEARCH</v>
          </cell>
          <cell r="Q711" t="str">
            <v>2024</v>
          </cell>
          <cell r="R711" t="str">
            <v>FA6CBM</v>
          </cell>
          <cell r="S711" t="str">
            <v>MERCADOLIBRE CHILE LTDA.</v>
          </cell>
          <cell r="T711" t="str">
            <v/>
          </cell>
        </row>
        <row r="712">
          <cell r="C712" t="str">
            <v>T24C850000103</v>
          </cell>
          <cell r="D712" t="str">
            <v>A24C850000150</v>
          </cell>
          <cell r="E712">
            <v>4200000</v>
          </cell>
          <cell r="F712">
            <v>0</v>
          </cell>
          <cell r="G712" t="str">
            <v>Mobile Phone</v>
          </cell>
          <cell r="H712" t="str">
            <v>[10]HHP EUREKA CAMPAIGN RETAILERS JANUARY</v>
          </cell>
          <cell r="I712" t="str">
            <v>Closed</v>
          </cell>
          <cell r="J712" t="str">
            <v>fernandez.r</v>
          </cell>
          <cell r="K712">
            <v>45303</v>
          </cell>
          <cell r="L712">
            <v>45382</v>
          </cell>
          <cell r="M712" t="str">
            <v>G1</v>
          </cell>
          <cell r="N712" t="str">
            <v>DIGITAL MEDIA</v>
          </cell>
          <cell r="O712" t="str">
            <v>A250</v>
          </cell>
          <cell r="P712" t="str">
            <v>DISPLAY</v>
          </cell>
          <cell r="Q712" t="str">
            <v>2024</v>
          </cell>
          <cell r="R712" t="str">
            <v>FA6CBM</v>
          </cell>
          <cell r="S712" t="str">
            <v>MERCADOLIBRE CHILE LTDA.</v>
          </cell>
          <cell r="T712" t="str">
            <v/>
          </cell>
        </row>
        <row r="713">
          <cell r="C713" t="str">
            <v>T24C850000103</v>
          </cell>
          <cell r="D713" t="str">
            <v>A24C850000150</v>
          </cell>
          <cell r="E713">
            <v>4200000</v>
          </cell>
          <cell r="F713">
            <v>0</v>
          </cell>
          <cell r="G713" t="str">
            <v>Mobile Phone</v>
          </cell>
          <cell r="H713" t="str">
            <v>[10]HHP EUREKA CAMPAIGN RETAILERS JANUARY</v>
          </cell>
          <cell r="I713" t="str">
            <v>Closed</v>
          </cell>
          <cell r="J713" t="str">
            <v>fernandez.r</v>
          </cell>
          <cell r="K713">
            <v>45303</v>
          </cell>
          <cell r="L713">
            <v>45382</v>
          </cell>
          <cell r="M713" t="str">
            <v>G1</v>
          </cell>
          <cell r="N713" t="str">
            <v>DIGITAL MEDIA</v>
          </cell>
          <cell r="O713" t="str">
            <v>A250</v>
          </cell>
          <cell r="P713" t="str">
            <v>DISPLAY</v>
          </cell>
          <cell r="Q713" t="str">
            <v>2024</v>
          </cell>
          <cell r="R713" t="str">
            <v>FA6CBM</v>
          </cell>
          <cell r="S713" t="str">
            <v>MERCADOLIBRE CHILE LTDA.</v>
          </cell>
          <cell r="T713" t="str">
            <v/>
          </cell>
        </row>
        <row r="714">
          <cell r="C714" t="str">
            <v>T24C850000103</v>
          </cell>
          <cell r="D714" t="str">
            <v>A24C850000150</v>
          </cell>
          <cell r="E714">
            <v>0</v>
          </cell>
          <cell r="F714">
            <v>8400000</v>
          </cell>
          <cell r="G714" t="str">
            <v>Mobile Phone</v>
          </cell>
          <cell r="H714" t="str">
            <v>[10]HHP EUREKA CAMPAIGN RETAILERS JANUARY</v>
          </cell>
          <cell r="I714" t="str">
            <v>Closed</v>
          </cell>
          <cell r="J714" t="str">
            <v>fernandez.r</v>
          </cell>
          <cell r="K714">
            <v>45303</v>
          </cell>
          <cell r="L714">
            <v>45382</v>
          </cell>
          <cell r="M714" t="str">
            <v>G1</v>
          </cell>
          <cell r="N714" t="str">
            <v>DIGITAL MEDIA</v>
          </cell>
          <cell r="O714" t="str">
            <v>A250</v>
          </cell>
          <cell r="P714" t="str">
            <v>DISPLAY</v>
          </cell>
          <cell r="Q714" t="str">
            <v>2024</v>
          </cell>
          <cell r="R714" t="str">
            <v>FA6CBM</v>
          </cell>
          <cell r="S714" t="str">
            <v>MERCADOLIBRE CHILE LTDA.</v>
          </cell>
          <cell r="T714" t="str">
            <v/>
          </cell>
        </row>
        <row r="715">
          <cell r="C715" t="str">
            <v>T24C850000103</v>
          </cell>
          <cell r="D715" t="str">
            <v>A24C850000150</v>
          </cell>
          <cell r="E715">
            <v>6000000</v>
          </cell>
          <cell r="F715">
            <v>0</v>
          </cell>
          <cell r="G715" t="str">
            <v>Mobile Phone</v>
          </cell>
          <cell r="H715" t="str">
            <v>[10]HHP EUREKA CAMPAIGN RETAILERS JANUARY</v>
          </cell>
          <cell r="I715" t="str">
            <v>Closed</v>
          </cell>
          <cell r="J715" t="str">
            <v>fernandez.r</v>
          </cell>
          <cell r="K715">
            <v>45303</v>
          </cell>
          <cell r="L715">
            <v>45382</v>
          </cell>
          <cell r="M715" t="str">
            <v>G1</v>
          </cell>
          <cell r="N715" t="str">
            <v>DIGITAL MEDIA</v>
          </cell>
          <cell r="O715" t="str">
            <v>A240</v>
          </cell>
          <cell r="P715" t="str">
            <v>SEARCH</v>
          </cell>
          <cell r="Q715" t="str">
            <v>2024</v>
          </cell>
          <cell r="R715" t="str">
            <v>FA6CBM</v>
          </cell>
          <cell r="S715" t="str">
            <v>MERCADOLIBRE CHILE LTDA.</v>
          </cell>
          <cell r="T715" t="str">
            <v/>
          </cell>
        </row>
        <row r="716">
          <cell r="C716" t="str">
            <v>T24C850000103</v>
          </cell>
          <cell r="D716" t="str">
            <v>A24C850000150</v>
          </cell>
          <cell r="E716">
            <v>6000000</v>
          </cell>
          <cell r="F716">
            <v>0</v>
          </cell>
          <cell r="G716" t="str">
            <v>Mobile Phone</v>
          </cell>
          <cell r="H716" t="str">
            <v>[10]HHP EUREKA CAMPAIGN RETAILERS JANUARY</v>
          </cell>
          <cell r="I716" t="str">
            <v>Closed</v>
          </cell>
          <cell r="J716" t="str">
            <v>fernandez.r</v>
          </cell>
          <cell r="K716">
            <v>45303</v>
          </cell>
          <cell r="L716">
            <v>45382</v>
          </cell>
          <cell r="M716" t="str">
            <v>G1</v>
          </cell>
          <cell r="N716" t="str">
            <v>DIGITAL MEDIA</v>
          </cell>
          <cell r="O716" t="str">
            <v>A240</v>
          </cell>
          <cell r="P716" t="str">
            <v>SEARCH</v>
          </cell>
          <cell r="Q716" t="str">
            <v>2024</v>
          </cell>
          <cell r="R716" t="str">
            <v>FA6CBM</v>
          </cell>
          <cell r="S716" t="str">
            <v>MERCADOLIBRE CHILE LTDA.</v>
          </cell>
          <cell r="T716" t="str">
            <v/>
          </cell>
        </row>
        <row r="717">
          <cell r="C717" t="str">
            <v>T24C850000103</v>
          </cell>
          <cell r="D717" t="str">
            <v>A24C850000150</v>
          </cell>
          <cell r="E717">
            <v>0</v>
          </cell>
          <cell r="F717">
            <v>12000000</v>
          </cell>
          <cell r="G717" t="str">
            <v>Mobile Phone</v>
          </cell>
          <cell r="H717" t="str">
            <v>[10]HHP EUREKA CAMPAIGN RETAILERS JANUARY</v>
          </cell>
          <cell r="I717" t="str">
            <v>Closed</v>
          </cell>
          <cell r="J717" t="str">
            <v>fernandez.r</v>
          </cell>
          <cell r="K717">
            <v>45303</v>
          </cell>
          <cell r="L717">
            <v>45382</v>
          </cell>
          <cell r="M717" t="str">
            <v>G1</v>
          </cell>
          <cell r="N717" t="str">
            <v>DIGITAL MEDIA</v>
          </cell>
          <cell r="O717" t="str">
            <v>A240</v>
          </cell>
          <cell r="P717" t="str">
            <v>SEARCH</v>
          </cell>
          <cell r="Q717" t="str">
            <v>2024</v>
          </cell>
          <cell r="R717" t="str">
            <v>FA6CBM</v>
          </cell>
          <cell r="S717" t="str">
            <v>MERCADOLIBRE CHILE LTDA.</v>
          </cell>
          <cell r="T717" t="str">
            <v/>
          </cell>
        </row>
        <row r="718">
          <cell r="C718" t="str">
            <v>T24C850000281</v>
          </cell>
          <cell r="D718" t="str">
            <v>A24C850000391</v>
          </cell>
          <cell r="E718">
            <v>19592000</v>
          </cell>
          <cell r="F718">
            <v>0</v>
          </cell>
          <cell r="G718" t="str">
            <v>Mobile Phone</v>
          </cell>
          <cell r="H718" t="str">
            <v>[3]HHP EUREKA CAMPAIGN RETAILERS FEBRUARY - INCREASE VERSION</v>
          </cell>
          <cell r="I718" t="str">
            <v>Closed</v>
          </cell>
          <cell r="J718" t="str">
            <v>fernandez.r</v>
          </cell>
          <cell r="K718">
            <v>45338</v>
          </cell>
          <cell r="L718">
            <v>45443</v>
          </cell>
          <cell r="M718" t="str">
            <v>G1</v>
          </cell>
          <cell r="N718" t="str">
            <v>DIGITAL MEDIA</v>
          </cell>
          <cell r="O718" t="str">
            <v>A250</v>
          </cell>
          <cell r="P718" t="str">
            <v>DISPLAY</v>
          </cell>
          <cell r="Q718" t="str">
            <v>2024</v>
          </cell>
          <cell r="R718" t="str">
            <v>FA6CBM</v>
          </cell>
          <cell r="S718" t="str">
            <v>MERCADOLIBRE CHILE LTDA.</v>
          </cell>
          <cell r="T718" t="str">
            <v/>
          </cell>
        </row>
        <row r="719">
          <cell r="C719" t="str">
            <v>T24C850000281</v>
          </cell>
          <cell r="D719" t="str">
            <v>A24C850000391</v>
          </cell>
          <cell r="E719">
            <v>0</v>
          </cell>
          <cell r="F719">
            <v>9600000</v>
          </cell>
          <cell r="G719" t="str">
            <v>Mobile Phone</v>
          </cell>
          <cell r="H719" t="str">
            <v>[3]HHP EUREKA CAMPAIGN RETAILERS FEBRUARY - INCREASE VERSION</v>
          </cell>
          <cell r="I719" t="str">
            <v>Closed</v>
          </cell>
          <cell r="J719" t="str">
            <v>fernandez.r</v>
          </cell>
          <cell r="K719">
            <v>45338</v>
          </cell>
          <cell r="L719">
            <v>45443</v>
          </cell>
          <cell r="M719" t="str">
            <v>G1</v>
          </cell>
          <cell r="N719" t="str">
            <v>DIGITAL MEDIA</v>
          </cell>
          <cell r="O719" t="str">
            <v>A250</v>
          </cell>
          <cell r="P719" t="str">
            <v>DISPLAY</v>
          </cell>
          <cell r="Q719" t="str">
            <v>2024</v>
          </cell>
          <cell r="R719" t="str">
            <v>FA6CBM</v>
          </cell>
          <cell r="S719" t="str">
            <v>MERCADOLIBRE CHILE LTDA.</v>
          </cell>
          <cell r="T719" t="str">
            <v/>
          </cell>
        </row>
        <row r="720">
          <cell r="C720" t="str">
            <v>T24C850000281</v>
          </cell>
          <cell r="D720" t="str">
            <v>A24C850000391</v>
          </cell>
          <cell r="E720">
            <v>0</v>
          </cell>
          <cell r="F720">
            <v>105604</v>
          </cell>
          <cell r="G720" t="str">
            <v>Mobile Phone</v>
          </cell>
          <cell r="H720" t="str">
            <v>[3]HHP EUREKA CAMPAIGN RETAILERS FEBRUARY - INCREASE VERSION</v>
          </cell>
          <cell r="I720" t="str">
            <v>Closed</v>
          </cell>
          <cell r="J720" t="str">
            <v>fernandez.r</v>
          </cell>
          <cell r="K720">
            <v>45338</v>
          </cell>
          <cell r="L720">
            <v>45443</v>
          </cell>
          <cell r="M720" t="str">
            <v>G1</v>
          </cell>
          <cell r="N720" t="str">
            <v>DIGITAL MEDIA</v>
          </cell>
          <cell r="O720" t="str">
            <v>A250</v>
          </cell>
          <cell r="P720" t="str">
            <v>DISPLAY</v>
          </cell>
          <cell r="Q720" t="str">
            <v>2024</v>
          </cell>
          <cell r="R720" t="str">
            <v>FA6CBM</v>
          </cell>
          <cell r="S720" t="str">
            <v>MERCADOLIBRE CHILE LTDA.</v>
          </cell>
          <cell r="T720" t="str">
            <v/>
          </cell>
        </row>
        <row r="721">
          <cell r="C721" t="str">
            <v>T24C850000281</v>
          </cell>
          <cell r="D721" t="str">
            <v>A24C850000391</v>
          </cell>
          <cell r="E721">
            <v>9886396</v>
          </cell>
          <cell r="F721">
            <v>0</v>
          </cell>
          <cell r="G721" t="str">
            <v>Mobile Phone</v>
          </cell>
          <cell r="H721" t="str">
            <v>[3]HHP EUREKA CAMPAIGN RETAILERS FEBRUARY - INCREASE VERSION</v>
          </cell>
          <cell r="I721" t="str">
            <v>Closed</v>
          </cell>
          <cell r="J721" t="str">
            <v>fernandez.r</v>
          </cell>
          <cell r="K721">
            <v>45338</v>
          </cell>
          <cell r="L721">
            <v>45443</v>
          </cell>
          <cell r="M721" t="str">
            <v>G1</v>
          </cell>
          <cell r="N721" t="str">
            <v>DIGITAL MEDIA</v>
          </cell>
          <cell r="O721" t="str">
            <v>A250</v>
          </cell>
          <cell r="P721" t="str">
            <v>DISPLAY</v>
          </cell>
          <cell r="Q721" t="str">
            <v>2024</v>
          </cell>
          <cell r="R721" t="str">
            <v>FA6CBM</v>
          </cell>
          <cell r="S721" t="str">
            <v>MERCADOLIBRE CHILE LTDA.</v>
          </cell>
          <cell r="T721" t="str">
            <v/>
          </cell>
        </row>
        <row r="722">
          <cell r="C722" t="str">
            <v>T24C850000281</v>
          </cell>
          <cell r="D722" t="str">
            <v>A24C850000391</v>
          </cell>
          <cell r="E722">
            <v>45000000</v>
          </cell>
          <cell r="F722">
            <v>0</v>
          </cell>
          <cell r="G722" t="str">
            <v>Mobile Phone</v>
          </cell>
          <cell r="H722" t="str">
            <v>[3]HHP EUREKA CAMPAIGN RETAILERS FEBRUARY - INCREASE VERSION</v>
          </cell>
          <cell r="I722" t="str">
            <v>Closed</v>
          </cell>
          <cell r="J722" t="str">
            <v>fernandez.r</v>
          </cell>
          <cell r="K722">
            <v>45338</v>
          </cell>
          <cell r="L722">
            <v>45443</v>
          </cell>
          <cell r="M722" t="str">
            <v>G1</v>
          </cell>
          <cell r="N722" t="str">
            <v>DIGITAL MEDIA</v>
          </cell>
          <cell r="O722" t="str">
            <v>A240</v>
          </cell>
          <cell r="P722" t="str">
            <v>SEARCH</v>
          </cell>
          <cell r="Q722" t="str">
            <v>2024</v>
          </cell>
          <cell r="R722" t="str">
            <v>FA6CBM</v>
          </cell>
          <cell r="S722" t="str">
            <v>MERCADOLIBRE CHILE LTDA.</v>
          </cell>
          <cell r="T722" t="str">
            <v/>
          </cell>
        </row>
        <row r="723">
          <cell r="C723" t="str">
            <v>T24C850000281</v>
          </cell>
          <cell r="D723" t="str">
            <v>A24C850000391</v>
          </cell>
          <cell r="E723">
            <v>0</v>
          </cell>
          <cell r="F723">
            <v>45000000</v>
          </cell>
          <cell r="G723" t="str">
            <v>Mobile Phone</v>
          </cell>
          <cell r="H723" t="str">
            <v>[3]HHP EUREKA CAMPAIGN RETAILERS FEBRUARY - INCREASE VERSION</v>
          </cell>
          <cell r="I723" t="str">
            <v>Closed</v>
          </cell>
          <cell r="J723" t="str">
            <v>fernandez.r</v>
          </cell>
          <cell r="K723">
            <v>45338</v>
          </cell>
          <cell r="L723">
            <v>45443</v>
          </cell>
          <cell r="M723" t="str">
            <v>G1</v>
          </cell>
          <cell r="N723" t="str">
            <v>DIGITAL MEDIA</v>
          </cell>
          <cell r="O723" t="str">
            <v>A240</v>
          </cell>
          <cell r="P723" t="str">
            <v>SEARCH</v>
          </cell>
          <cell r="Q723" t="str">
            <v>2024</v>
          </cell>
          <cell r="R723" t="str">
            <v>FA6CBM</v>
          </cell>
          <cell r="S723" t="str">
            <v>MERCADOLIBRE CHILE LTDA.</v>
          </cell>
          <cell r="T723" t="str">
            <v/>
          </cell>
        </row>
        <row r="724">
          <cell r="C724" t="str">
            <v>T24C850000347</v>
          </cell>
          <cell r="D724" t="str">
            <v>A24C850000518</v>
          </cell>
          <cell r="E724">
            <v>1442666</v>
          </cell>
          <cell r="F724">
            <v>0</v>
          </cell>
          <cell r="G724" t="str">
            <v>Mobile Phone</v>
          </cell>
          <cell r="H724" t="str">
            <v>[1]HHP AON CAMPAIGN RETAILERS MARCH - MELI</v>
          </cell>
          <cell r="I724" t="str">
            <v>Closed</v>
          </cell>
          <cell r="J724" t="str">
            <v>fernandez.r</v>
          </cell>
          <cell r="K724">
            <v>45363</v>
          </cell>
          <cell r="L724">
            <v>45443</v>
          </cell>
          <cell r="M724" t="str">
            <v>G1</v>
          </cell>
          <cell r="N724" t="str">
            <v>DIGITAL MEDIA</v>
          </cell>
          <cell r="O724" t="str">
            <v>A250</v>
          </cell>
          <cell r="P724" t="str">
            <v>DISPLAY</v>
          </cell>
          <cell r="Q724" t="str">
            <v>2024</v>
          </cell>
          <cell r="R724" t="str">
            <v>FA6CBM</v>
          </cell>
          <cell r="S724" t="str">
            <v>MERCADOLIBRE CHILE LTDA.</v>
          </cell>
          <cell r="T724" t="str">
            <v/>
          </cell>
        </row>
        <row r="725">
          <cell r="C725" t="str">
            <v>T24C850000347</v>
          </cell>
          <cell r="D725" t="str">
            <v>A24C850000518</v>
          </cell>
          <cell r="E725">
            <v>-1</v>
          </cell>
          <cell r="F725">
            <v>1442665</v>
          </cell>
          <cell r="G725" t="str">
            <v>Mobile Phone</v>
          </cell>
          <cell r="H725" t="str">
            <v>[1]HHP AON CAMPAIGN RETAILERS MARCH - MELI</v>
          </cell>
          <cell r="I725" t="str">
            <v>Closed</v>
          </cell>
          <cell r="J725" t="str">
            <v>fernandez.r</v>
          </cell>
          <cell r="K725">
            <v>45363</v>
          </cell>
          <cell r="L725">
            <v>45443</v>
          </cell>
          <cell r="M725" t="str">
            <v>G1</v>
          </cell>
          <cell r="N725" t="str">
            <v>DIGITAL MEDIA</v>
          </cell>
          <cell r="O725" t="str">
            <v>A250</v>
          </cell>
          <cell r="P725" t="str">
            <v>DISPLAY</v>
          </cell>
          <cell r="Q725" t="str">
            <v>2024</v>
          </cell>
          <cell r="R725" t="str">
            <v>FA6CBM</v>
          </cell>
          <cell r="S725" t="str">
            <v>MERCADOLIBRE CHILE LTDA.</v>
          </cell>
          <cell r="T725" t="str">
            <v/>
          </cell>
        </row>
        <row r="726">
          <cell r="C726" t="str">
            <v>T24C850000347</v>
          </cell>
          <cell r="D726" t="str">
            <v>A24C850000518</v>
          </cell>
          <cell r="E726">
            <v>4000000</v>
          </cell>
          <cell r="F726">
            <v>0</v>
          </cell>
          <cell r="G726" t="str">
            <v>Mobile Phone</v>
          </cell>
          <cell r="H726" t="str">
            <v>[1]HHP AON CAMPAIGN RETAILERS MARCH - MELI</v>
          </cell>
          <cell r="I726" t="str">
            <v>Closed</v>
          </cell>
          <cell r="J726" t="str">
            <v>fernandez.r</v>
          </cell>
          <cell r="K726">
            <v>45363</v>
          </cell>
          <cell r="L726">
            <v>45443</v>
          </cell>
          <cell r="M726" t="str">
            <v>G1</v>
          </cell>
          <cell r="N726" t="str">
            <v>DIGITAL MEDIA</v>
          </cell>
          <cell r="O726" t="str">
            <v>A240</v>
          </cell>
          <cell r="P726" t="str">
            <v>SEARCH</v>
          </cell>
          <cell r="Q726" t="str">
            <v>2024</v>
          </cell>
          <cell r="R726" t="str">
            <v>FA6CBM</v>
          </cell>
          <cell r="S726" t="str">
            <v>MERCADOLIBRE CHILE LTDA.</v>
          </cell>
          <cell r="T726" t="str">
            <v/>
          </cell>
        </row>
        <row r="727">
          <cell r="C727" t="str">
            <v>T24C850000347</v>
          </cell>
          <cell r="D727" t="str">
            <v>A24C850000518</v>
          </cell>
          <cell r="E727">
            <v>0</v>
          </cell>
          <cell r="F727">
            <v>4000000</v>
          </cell>
          <cell r="G727" t="str">
            <v>Mobile Phone</v>
          </cell>
          <cell r="H727" t="str">
            <v>[1]HHP AON CAMPAIGN RETAILERS MARCH - MELI</v>
          </cell>
          <cell r="I727" t="str">
            <v>Closed</v>
          </cell>
          <cell r="J727" t="str">
            <v>fernandez.r</v>
          </cell>
          <cell r="K727">
            <v>45363</v>
          </cell>
          <cell r="L727">
            <v>45443</v>
          </cell>
          <cell r="M727" t="str">
            <v>G1</v>
          </cell>
          <cell r="N727" t="str">
            <v>DIGITAL MEDIA</v>
          </cell>
          <cell r="O727" t="str">
            <v>A240</v>
          </cell>
          <cell r="P727" t="str">
            <v>SEARCH</v>
          </cell>
          <cell r="Q727" t="str">
            <v>2024</v>
          </cell>
          <cell r="R727" t="str">
            <v>FA6CBM</v>
          </cell>
          <cell r="S727" t="str">
            <v>MERCADOLIBRE CHILE LTDA.</v>
          </cell>
          <cell r="T727" t="str">
            <v/>
          </cell>
        </row>
        <row r="728">
          <cell r="C728" t="str">
            <v>T24C850000358</v>
          </cell>
          <cell r="D728" t="str">
            <v>A24C850000532</v>
          </cell>
          <cell r="E728">
            <v>1442666</v>
          </cell>
          <cell r="F728">
            <v>0</v>
          </cell>
          <cell r="G728" t="str">
            <v>Mobile Phone</v>
          </cell>
          <cell r="H728" t="str">
            <v>[1]HHP AON CAMPAIGN RETAILERS APRIL - MELI</v>
          </cell>
          <cell r="I728" t="str">
            <v>Completed</v>
          </cell>
          <cell r="J728" t="str">
            <v>fernandez.r</v>
          </cell>
          <cell r="K728">
            <v>45383</v>
          </cell>
          <cell r="L728">
            <v>45473</v>
          </cell>
          <cell r="M728" t="str">
            <v>G1</v>
          </cell>
          <cell r="N728" t="str">
            <v>DIGITAL MEDIA</v>
          </cell>
          <cell r="O728" t="str">
            <v>A250</v>
          </cell>
          <cell r="P728" t="str">
            <v>DISPLAY</v>
          </cell>
          <cell r="Q728" t="str">
            <v>2024</v>
          </cell>
          <cell r="R728" t="str">
            <v>FA6CBM</v>
          </cell>
          <cell r="S728" t="str">
            <v>MERCADOLIBRE CHILE LTDA.</v>
          </cell>
          <cell r="T728" t="str">
            <v/>
          </cell>
        </row>
        <row r="729">
          <cell r="C729" t="str">
            <v>T24C850000358</v>
          </cell>
          <cell r="D729" t="str">
            <v>A24C850000532</v>
          </cell>
          <cell r="E729">
            <v>4000000</v>
          </cell>
          <cell r="F729">
            <v>0</v>
          </cell>
          <cell r="G729" t="str">
            <v>Mobile Phone</v>
          </cell>
          <cell r="H729" t="str">
            <v>[1]HHP AON CAMPAIGN RETAILERS APRIL - MELI</v>
          </cell>
          <cell r="I729" t="str">
            <v>Completed</v>
          </cell>
          <cell r="J729" t="str">
            <v>fernandez.r</v>
          </cell>
          <cell r="K729">
            <v>45383</v>
          </cell>
          <cell r="L729">
            <v>45473</v>
          </cell>
          <cell r="M729" t="str">
            <v>G1</v>
          </cell>
          <cell r="N729" t="str">
            <v>DIGITAL MEDIA</v>
          </cell>
          <cell r="O729" t="str">
            <v>A240</v>
          </cell>
          <cell r="P729" t="str">
            <v>SEARCH</v>
          </cell>
          <cell r="Q729" t="str">
            <v>2024</v>
          </cell>
          <cell r="R729" t="str">
            <v>FA6CBM</v>
          </cell>
          <cell r="S729" t="str">
            <v>MERCADOLIBRE CHILE LTDA.</v>
          </cell>
          <cell r="T729" t="str">
            <v/>
          </cell>
        </row>
        <row r="730">
          <cell r="C730" t="str">
            <v>T24C850000365</v>
          </cell>
          <cell r="D730" t="str">
            <v>A24C850000541</v>
          </cell>
          <cell r="E730">
            <v>1442666</v>
          </cell>
          <cell r="F730">
            <v>0</v>
          </cell>
          <cell r="G730" t="str">
            <v>Mobile Phone</v>
          </cell>
          <cell r="H730" t="str">
            <v>[1]HHP AON CAMPAIGN RETAILERSMAY - MELI</v>
          </cell>
          <cell r="I730" t="str">
            <v>Closed</v>
          </cell>
          <cell r="J730" t="str">
            <v>fernandez.r</v>
          </cell>
          <cell r="K730">
            <v>45413</v>
          </cell>
          <cell r="L730">
            <v>45504</v>
          </cell>
          <cell r="M730" t="str">
            <v>G1</v>
          </cell>
          <cell r="N730" t="str">
            <v>DIGITAL MEDIA</v>
          </cell>
          <cell r="O730" t="str">
            <v>A250</v>
          </cell>
          <cell r="P730" t="str">
            <v>DISPLAY</v>
          </cell>
          <cell r="Q730" t="str">
            <v>2024</v>
          </cell>
          <cell r="R730" t="str">
            <v>FA6CBM</v>
          </cell>
          <cell r="S730" t="str">
            <v>MERCADOLIBRE CHILE LTDA.</v>
          </cell>
          <cell r="T730" t="str">
            <v/>
          </cell>
        </row>
        <row r="731">
          <cell r="C731" t="str">
            <v>T24C850000365</v>
          </cell>
          <cell r="D731" t="str">
            <v>A24C850000541</v>
          </cell>
          <cell r="E731">
            <v>-1442666</v>
          </cell>
          <cell r="F731">
            <v>0</v>
          </cell>
          <cell r="G731" t="str">
            <v>Mobile Phone</v>
          </cell>
          <cell r="H731" t="str">
            <v>[1]HHP AON CAMPAIGN RETAILERSMAY - MELI</v>
          </cell>
          <cell r="I731" t="str">
            <v>Closed</v>
          </cell>
          <cell r="J731" t="str">
            <v>fernandez.r</v>
          </cell>
          <cell r="K731">
            <v>45413</v>
          </cell>
          <cell r="L731">
            <v>45504</v>
          </cell>
          <cell r="M731" t="str">
            <v>G1</v>
          </cell>
          <cell r="N731" t="str">
            <v>DIGITAL MEDIA</v>
          </cell>
          <cell r="O731" t="str">
            <v>A250</v>
          </cell>
          <cell r="P731" t="str">
            <v>DISPLAY</v>
          </cell>
          <cell r="Q731" t="str">
            <v>2024</v>
          </cell>
          <cell r="R731" t="str">
            <v>FA6CBM</v>
          </cell>
          <cell r="S731" t="str">
            <v>MERCADOLIBRE CHILE LTDA.</v>
          </cell>
          <cell r="T731" t="str">
            <v/>
          </cell>
        </row>
        <row r="732">
          <cell r="C732" t="str">
            <v>T24C850000365</v>
          </cell>
          <cell r="D732" t="str">
            <v>A24C850000541</v>
          </cell>
          <cell r="E732">
            <v>4000000</v>
          </cell>
          <cell r="F732">
            <v>0</v>
          </cell>
          <cell r="G732" t="str">
            <v>Mobile Phone</v>
          </cell>
          <cell r="H732" t="str">
            <v>[1]HHP AON CAMPAIGN RETAILERSMAY - MELI</v>
          </cell>
          <cell r="I732" t="str">
            <v>Closed</v>
          </cell>
          <cell r="J732" t="str">
            <v>fernandez.r</v>
          </cell>
          <cell r="K732">
            <v>45413</v>
          </cell>
          <cell r="L732">
            <v>45504</v>
          </cell>
          <cell r="M732" t="str">
            <v>G1</v>
          </cell>
          <cell r="N732" t="str">
            <v>DIGITAL MEDIA</v>
          </cell>
          <cell r="O732" t="str">
            <v>A240</v>
          </cell>
          <cell r="P732" t="str">
            <v>SEARCH</v>
          </cell>
          <cell r="Q732" t="str">
            <v>2024</v>
          </cell>
          <cell r="R732" t="str">
            <v>FA6CBM</v>
          </cell>
          <cell r="S732" t="str">
            <v>MERCADOLIBRE CHILE LTDA.</v>
          </cell>
          <cell r="T732" t="str">
            <v/>
          </cell>
        </row>
        <row r="733">
          <cell r="C733" t="str">
            <v>T24C850000365</v>
          </cell>
          <cell r="D733" t="str">
            <v>A24C850000541</v>
          </cell>
          <cell r="E733">
            <v>-4000000</v>
          </cell>
          <cell r="F733">
            <v>0</v>
          </cell>
          <cell r="G733" t="str">
            <v>Mobile Phone</v>
          </cell>
          <cell r="H733" t="str">
            <v>[1]HHP AON CAMPAIGN RETAILERSMAY - MELI</v>
          </cell>
          <cell r="I733" t="str">
            <v>Closed</v>
          </cell>
          <cell r="J733" t="str">
            <v>fernandez.r</v>
          </cell>
          <cell r="K733">
            <v>45413</v>
          </cell>
          <cell r="L733">
            <v>45504</v>
          </cell>
          <cell r="M733" t="str">
            <v>G1</v>
          </cell>
          <cell r="N733" t="str">
            <v>DIGITAL MEDIA</v>
          </cell>
          <cell r="O733" t="str">
            <v>A240</v>
          </cell>
          <cell r="P733" t="str">
            <v>SEARCH</v>
          </cell>
          <cell r="Q733" t="str">
            <v>2024</v>
          </cell>
          <cell r="R733" t="str">
            <v>FA6CBM</v>
          </cell>
          <cell r="S733" t="str">
            <v>MERCADOLIBRE CHILE LTDA.</v>
          </cell>
          <cell r="T733" t="str">
            <v/>
          </cell>
        </row>
        <row r="734">
          <cell r="C734" t="str">
            <v>T24C850000515</v>
          </cell>
          <cell r="D734" t="str">
            <v>A24C850000712</v>
          </cell>
          <cell r="E734">
            <v>5000000</v>
          </cell>
          <cell r="F734">
            <v>0</v>
          </cell>
          <cell r="G734" t="str">
            <v>Mobile Phone</v>
          </cell>
          <cell r="H734" t="str">
            <v>[7]A SERIES CAMPAIGN - RETAILERS - APRIL</v>
          </cell>
          <cell r="I734" t="str">
            <v>Closed</v>
          </cell>
          <cell r="J734" t="str">
            <v>fernandez.r</v>
          </cell>
          <cell r="K734">
            <v>45385</v>
          </cell>
          <cell r="L734">
            <v>45504</v>
          </cell>
          <cell r="M734" t="str">
            <v>G1</v>
          </cell>
          <cell r="N734" t="str">
            <v>DIGITAL MEDIA</v>
          </cell>
          <cell r="O734" t="str">
            <v>A250</v>
          </cell>
          <cell r="P734" t="str">
            <v>DISPLAY</v>
          </cell>
          <cell r="Q734" t="str">
            <v>2024</v>
          </cell>
          <cell r="R734" t="str">
            <v>FA6CBM</v>
          </cell>
          <cell r="S734" t="str">
            <v>MERCADOLIBRE CHILE LTDA.</v>
          </cell>
          <cell r="T734" t="str">
            <v/>
          </cell>
        </row>
        <row r="735">
          <cell r="C735" t="str">
            <v>T24C850000515</v>
          </cell>
          <cell r="D735" t="str">
            <v>A24C850000712</v>
          </cell>
          <cell r="E735">
            <v>0</v>
          </cell>
          <cell r="F735">
            <v>5000000</v>
          </cell>
          <cell r="G735" t="str">
            <v>Mobile Phone</v>
          </cell>
          <cell r="H735" t="str">
            <v>[7]A SERIES CAMPAIGN - RETAILERS - APRIL</v>
          </cell>
          <cell r="I735" t="str">
            <v>Closed</v>
          </cell>
          <cell r="J735" t="str">
            <v>fernandez.r</v>
          </cell>
          <cell r="K735">
            <v>45385</v>
          </cell>
          <cell r="L735">
            <v>45504</v>
          </cell>
          <cell r="M735" t="str">
            <v>G1</v>
          </cell>
          <cell r="N735" t="str">
            <v>DIGITAL MEDIA</v>
          </cell>
          <cell r="O735" t="str">
            <v>A250</v>
          </cell>
          <cell r="P735" t="str">
            <v>DISPLAY</v>
          </cell>
          <cell r="Q735" t="str">
            <v>2024</v>
          </cell>
          <cell r="R735" t="str">
            <v>FA6CBM</v>
          </cell>
          <cell r="S735" t="str">
            <v>MERCADOLIBRE CHILE LTDA.</v>
          </cell>
          <cell r="T735" t="str">
            <v/>
          </cell>
        </row>
        <row r="736">
          <cell r="C736" t="str">
            <v>T24C850000515</v>
          </cell>
          <cell r="D736" t="str">
            <v>A24C850000712</v>
          </cell>
          <cell r="E736">
            <v>4000000</v>
          </cell>
          <cell r="F736">
            <v>0</v>
          </cell>
          <cell r="G736" t="str">
            <v>Mobile Phone</v>
          </cell>
          <cell r="H736" t="str">
            <v>[7]A SERIES CAMPAIGN - RETAILERS - APRIL</v>
          </cell>
          <cell r="I736" t="str">
            <v>Closed</v>
          </cell>
          <cell r="J736" t="str">
            <v>fernandez.r</v>
          </cell>
          <cell r="K736">
            <v>45385</v>
          </cell>
          <cell r="L736">
            <v>45504</v>
          </cell>
          <cell r="M736" t="str">
            <v>G1</v>
          </cell>
          <cell r="N736" t="str">
            <v>DIGITAL MEDIA</v>
          </cell>
          <cell r="O736" t="str">
            <v>A240</v>
          </cell>
          <cell r="P736" t="str">
            <v>SEARCH</v>
          </cell>
          <cell r="Q736" t="str">
            <v>2024</v>
          </cell>
          <cell r="R736" t="str">
            <v>FA6CBM</v>
          </cell>
          <cell r="S736" t="str">
            <v>MERCADOLIBRE CHILE LTDA.</v>
          </cell>
          <cell r="T736" t="str">
            <v/>
          </cell>
        </row>
        <row r="737">
          <cell r="C737" t="str">
            <v>T24C850000515</v>
          </cell>
          <cell r="D737" t="str">
            <v>A24C850000712</v>
          </cell>
          <cell r="E737">
            <v>0</v>
          </cell>
          <cell r="F737">
            <v>4000000</v>
          </cell>
          <cell r="G737" t="str">
            <v>Mobile Phone</v>
          </cell>
          <cell r="H737" t="str">
            <v>[7]A SERIES CAMPAIGN - RETAILERS - APRIL</v>
          </cell>
          <cell r="I737" t="str">
            <v>Closed</v>
          </cell>
          <cell r="J737" t="str">
            <v>fernandez.r</v>
          </cell>
          <cell r="K737">
            <v>45385</v>
          </cell>
          <cell r="L737">
            <v>45504</v>
          </cell>
          <cell r="M737" t="str">
            <v>G1</v>
          </cell>
          <cell r="N737" t="str">
            <v>DIGITAL MEDIA</v>
          </cell>
          <cell r="O737" t="str">
            <v>A240</v>
          </cell>
          <cell r="P737" t="str">
            <v>SEARCH</v>
          </cell>
          <cell r="Q737" t="str">
            <v>2024</v>
          </cell>
          <cell r="R737" t="str">
            <v>FA6CBM</v>
          </cell>
          <cell r="S737" t="str">
            <v>MERCADOLIBRE CHILE LTDA.</v>
          </cell>
          <cell r="T737" t="str">
            <v/>
          </cell>
        </row>
        <row r="738">
          <cell r="C738" t="str">
            <v>T24C850000880</v>
          </cell>
          <cell r="D738" t="str">
            <v>A24C850001150</v>
          </cell>
          <cell r="E738">
            <v>1500000</v>
          </cell>
          <cell r="F738">
            <v>0</v>
          </cell>
          <cell r="G738" t="str">
            <v>Mobile Phone</v>
          </cell>
          <cell r="H738" t="str">
            <v>[1]HHP - AON CAMPAIGN - JULY - MELI</v>
          </cell>
          <cell r="I738" t="str">
            <v>Completed</v>
          </cell>
          <cell r="J738" t="str">
            <v>fernandez.r</v>
          </cell>
          <cell r="K738">
            <v>45485</v>
          </cell>
          <cell r="L738">
            <v>45565</v>
          </cell>
          <cell r="M738" t="str">
            <v>G1</v>
          </cell>
          <cell r="N738" t="str">
            <v>DIGITAL MEDIA</v>
          </cell>
          <cell r="O738" t="str">
            <v>A250</v>
          </cell>
          <cell r="P738" t="str">
            <v>DISPLAY</v>
          </cell>
          <cell r="Q738" t="str">
            <v>2024</v>
          </cell>
          <cell r="R738" t="str">
            <v>FA6CBM</v>
          </cell>
          <cell r="S738" t="str">
            <v>MERCADOLIBRE CHILE LTDA.</v>
          </cell>
          <cell r="T738" t="str">
            <v/>
          </cell>
        </row>
        <row r="739">
          <cell r="C739" t="str">
            <v>T24C850000880</v>
          </cell>
          <cell r="D739" t="str">
            <v>A24C850001150</v>
          </cell>
          <cell r="E739">
            <v>4000000</v>
          </cell>
          <cell r="F739">
            <v>0</v>
          </cell>
          <cell r="G739" t="str">
            <v>Mobile Phone</v>
          </cell>
          <cell r="H739" t="str">
            <v>[1]HHP - AON CAMPAIGN - JULY - MELI</v>
          </cell>
          <cell r="I739" t="str">
            <v>Completed</v>
          </cell>
          <cell r="J739" t="str">
            <v>fernandez.r</v>
          </cell>
          <cell r="K739">
            <v>45485</v>
          </cell>
          <cell r="L739">
            <v>45565</v>
          </cell>
          <cell r="M739" t="str">
            <v>G1</v>
          </cell>
          <cell r="N739" t="str">
            <v>DIGITAL MEDIA</v>
          </cell>
          <cell r="O739" t="str">
            <v>A240</v>
          </cell>
          <cell r="P739" t="str">
            <v>SEARCH</v>
          </cell>
          <cell r="Q739" t="str">
            <v>2024</v>
          </cell>
          <cell r="R739" t="str">
            <v>FA6CBM</v>
          </cell>
          <cell r="S739" t="str">
            <v>MERCADOLIBRE CHILE LTDA.</v>
          </cell>
          <cell r="T739" t="str">
            <v/>
          </cell>
        </row>
        <row r="740">
          <cell r="C740" t="str">
            <v>T24C850000952</v>
          </cell>
          <cell r="D740" t="str">
            <v>A24C850001287</v>
          </cell>
          <cell r="E740">
            <v>2000000</v>
          </cell>
          <cell r="F740">
            <v>0</v>
          </cell>
          <cell r="G740" t="str">
            <v>Mobile Phone</v>
          </cell>
          <cell r="H740" t="str">
            <v>[1]HHP - AON CAMPAIGN - AUGUST - SEPTEMBER MELI</v>
          </cell>
          <cell r="I740" t="str">
            <v>Completed</v>
          </cell>
          <cell r="J740" t="str">
            <v>sjara.mella</v>
          </cell>
          <cell r="K740">
            <v>45513</v>
          </cell>
          <cell r="L740">
            <v>45626</v>
          </cell>
          <cell r="M740" t="str">
            <v>G1</v>
          </cell>
          <cell r="N740" t="str">
            <v>DIGITAL MEDIA</v>
          </cell>
          <cell r="O740" t="str">
            <v>A250</v>
          </cell>
          <cell r="P740" t="str">
            <v>DISPLAY</v>
          </cell>
          <cell r="Q740" t="str">
            <v>2024</v>
          </cell>
          <cell r="R740" t="str">
            <v>FA6CBM</v>
          </cell>
          <cell r="S740" t="str">
            <v>MERCADOLIBRE CHILE LTDA.</v>
          </cell>
          <cell r="T740" t="str">
            <v/>
          </cell>
        </row>
        <row r="741">
          <cell r="C741" t="str">
            <v>T24C850000952</v>
          </cell>
          <cell r="D741" t="str">
            <v>A24C850001287</v>
          </cell>
          <cell r="E741">
            <v>13750000</v>
          </cell>
          <cell r="F741">
            <v>0</v>
          </cell>
          <cell r="G741" t="str">
            <v>Mobile Phone</v>
          </cell>
          <cell r="H741" t="str">
            <v>[1]HHP - AON CAMPAIGN - AUGUST - SEPTEMBER MELI</v>
          </cell>
          <cell r="I741" t="str">
            <v>Completed</v>
          </cell>
          <cell r="J741" t="str">
            <v>sjara.mella</v>
          </cell>
          <cell r="K741">
            <v>45513</v>
          </cell>
          <cell r="L741">
            <v>45626</v>
          </cell>
          <cell r="M741" t="str">
            <v>G1</v>
          </cell>
          <cell r="N741" t="str">
            <v>DIGITAL MEDIA</v>
          </cell>
          <cell r="O741" t="str">
            <v>A250</v>
          </cell>
          <cell r="P741" t="str">
            <v>DISPLAY</v>
          </cell>
          <cell r="Q741" t="str">
            <v>2024</v>
          </cell>
          <cell r="R741" t="str">
            <v>FA6CBM</v>
          </cell>
          <cell r="S741" t="str">
            <v>MERCADOLIBRE CHILE LTDA.</v>
          </cell>
          <cell r="T741" t="str">
            <v/>
          </cell>
        </row>
        <row r="742">
          <cell r="C742" t="str">
            <v>T24C850000952</v>
          </cell>
          <cell r="D742" t="str">
            <v>A24C850001287</v>
          </cell>
          <cell r="E742">
            <v>4000000</v>
          </cell>
          <cell r="F742">
            <v>0</v>
          </cell>
          <cell r="G742" t="str">
            <v>Mobile Phone</v>
          </cell>
          <cell r="H742" t="str">
            <v>[1]HHP - AON CAMPAIGN - AUGUST - SEPTEMBER MELI</v>
          </cell>
          <cell r="I742" t="str">
            <v>Completed</v>
          </cell>
          <cell r="J742" t="str">
            <v>sjara.mella</v>
          </cell>
          <cell r="K742">
            <v>45513</v>
          </cell>
          <cell r="L742">
            <v>45626</v>
          </cell>
          <cell r="M742" t="str">
            <v>G1</v>
          </cell>
          <cell r="N742" t="str">
            <v>DIGITAL MEDIA</v>
          </cell>
          <cell r="O742" t="str">
            <v>A240</v>
          </cell>
          <cell r="P742" t="str">
            <v>SEARCH</v>
          </cell>
          <cell r="Q742" t="str">
            <v>2024</v>
          </cell>
          <cell r="R742" t="str">
            <v>FA6CBM</v>
          </cell>
          <cell r="S742" t="str">
            <v>MERCADOLIBRE CHILE LTDA.</v>
          </cell>
          <cell r="T742" t="str">
            <v/>
          </cell>
        </row>
        <row r="743">
          <cell r="C743" t="str">
            <v>T24C850000952</v>
          </cell>
          <cell r="D743" t="str">
            <v>A24C850001287</v>
          </cell>
          <cell r="E743">
            <v>13750000</v>
          </cell>
          <cell r="F743">
            <v>0</v>
          </cell>
          <cell r="G743" t="str">
            <v>Mobile Phone</v>
          </cell>
          <cell r="H743" t="str">
            <v>[1]HHP - AON CAMPAIGN - AUGUST - SEPTEMBER MELI</v>
          </cell>
          <cell r="I743" t="str">
            <v>Completed</v>
          </cell>
          <cell r="J743" t="str">
            <v>sjara.mella</v>
          </cell>
          <cell r="K743">
            <v>45513</v>
          </cell>
          <cell r="L743">
            <v>45626</v>
          </cell>
          <cell r="M743" t="str">
            <v>G1</v>
          </cell>
          <cell r="N743" t="str">
            <v>DIGITAL MEDIA</v>
          </cell>
          <cell r="O743" t="str">
            <v>A240</v>
          </cell>
          <cell r="P743" t="str">
            <v>SEARCH</v>
          </cell>
          <cell r="Q743" t="str">
            <v>2024</v>
          </cell>
          <cell r="R743" t="str">
            <v>FA6CBM</v>
          </cell>
          <cell r="S743" t="str">
            <v>MERCADOLIBRE CHILE LTDA.</v>
          </cell>
          <cell r="T743" t="str">
            <v/>
          </cell>
        </row>
        <row r="744">
          <cell r="C744" t="str">
            <v>T24C850001148</v>
          </cell>
          <cell r="D744" t="str">
            <v>A24C850001591</v>
          </cell>
          <cell r="E744">
            <v>4000000</v>
          </cell>
          <cell r="F744">
            <v>0</v>
          </cell>
          <cell r="G744" t="str">
            <v>Computer</v>
          </cell>
          <cell r="H744" t="str">
            <v>[4]NPC AON Q4 RETAIL.COM CAMPAIGN 2024</v>
          </cell>
          <cell r="I744" t="str">
            <v>Completed</v>
          </cell>
          <cell r="J744" t="str">
            <v>m.lavanchy</v>
          </cell>
          <cell r="K744">
            <v>45566</v>
          </cell>
          <cell r="L744">
            <v>45657</v>
          </cell>
          <cell r="M744" t="str">
            <v>C3</v>
          </cell>
          <cell r="N744" t="str">
            <v>DIGITAL MEDIA</v>
          </cell>
          <cell r="O744" t="str">
            <v>A240</v>
          </cell>
          <cell r="P744" t="str">
            <v>SEARCH</v>
          </cell>
          <cell r="Q744" t="str">
            <v>2024</v>
          </cell>
          <cell r="R744" t="str">
            <v>FA6CBM</v>
          </cell>
          <cell r="S744" t="str">
            <v>MERCADOLIBRE CHILE LTDA.</v>
          </cell>
          <cell r="T744" t="str">
            <v/>
          </cell>
        </row>
        <row r="745">
          <cell r="C745" t="str">
            <v>T24C850001148</v>
          </cell>
          <cell r="D745" t="str">
            <v>A24C850001591</v>
          </cell>
          <cell r="E745">
            <v>4000000</v>
          </cell>
          <cell r="F745">
            <v>0</v>
          </cell>
          <cell r="G745" t="str">
            <v>Computer</v>
          </cell>
          <cell r="H745" t="str">
            <v>[4]NPC AON Q4 RETAIL.COM CAMPAIGN 2024</v>
          </cell>
          <cell r="I745" t="str">
            <v>Completed</v>
          </cell>
          <cell r="J745" t="str">
            <v>m.lavanchy</v>
          </cell>
          <cell r="K745">
            <v>45566</v>
          </cell>
          <cell r="L745">
            <v>45657</v>
          </cell>
          <cell r="M745" t="str">
            <v>C3</v>
          </cell>
          <cell r="N745" t="str">
            <v>DIGITAL MEDIA</v>
          </cell>
          <cell r="O745" t="str">
            <v>A240</v>
          </cell>
          <cell r="P745" t="str">
            <v>SEARCH</v>
          </cell>
          <cell r="Q745" t="str">
            <v>2024</v>
          </cell>
          <cell r="R745" t="str">
            <v>FA6CBM</v>
          </cell>
          <cell r="S745" t="str">
            <v>MERCADOLIBRE CHILE LTDA.</v>
          </cell>
          <cell r="T745" t="str">
            <v/>
          </cell>
        </row>
        <row r="746">
          <cell r="C746" t="str">
            <v>T24C850001148</v>
          </cell>
          <cell r="D746" t="str">
            <v>A24C850001591</v>
          </cell>
          <cell r="E746">
            <v>4000000</v>
          </cell>
          <cell r="F746">
            <v>0</v>
          </cell>
          <cell r="G746" t="str">
            <v>Computer</v>
          </cell>
          <cell r="H746" t="str">
            <v>[4]NPC AON Q4 RETAIL.COM CAMPAIGN 2024</v>
          </cell>
          <cell r="I746" t="str">
            <v>Completed</v>
          </cell>
          <cell r="J746" t="str">
            <v>m.lavanchy</v>
          </cell>
          <cell r="K746">
            <v>45566</v>
          </cell>
          <cell r="L746">
            <v>45657</v>
          </cell>
          <cell r="M746" t="str">
            <v>C3</v>
          </cell>
          <cell r="N746" t="str">
            <v>DIGITAL MEDIA</v>
          </cell>
          <cell r="O746" t="str">
            <v>A230</v>
          </cell>
          <cell r="P746" t="str">
            <v>SOCIAL ADS</v>
          </cell>
          <cell r="Q746" t="str">
            <v>2024</v>
          </cell>
          <cell r="R746" t="str">
            <v>FA6CBM</v>
          </cell>
          <cell r="S746" t="str">
            <v>MERCADOLIBRE CHILE LTDA.</v>
          </cell>
          <cell r="T746" t="str">
            <v/>
          </cell>
        </row>
        <row r="747">
          <cell r="C747" t="str">
            <v>T24C850001148</v>
          </cell>
          <cell r="D747" t="str">
            <v>A24C850001591</v>
          </cell>
          <cell r="E747">
            <v>4000000</v>
          </cell>
          <cell r="F747">
            <v>0</v>
          </cell>
          <cell r="G747" t="str">
            <v>Computer</v>
          </cell>
          <cell r="H747" t="str">
            <v>[4]NPC AON Q4 RETAIL.COM CAMPAIGN 2024</v>
          </cell>
          <cell r="I747" t="str">
            <v>Completed</v>
          </cell>
          <cell r="J747" t="str">
            <v>m.lavanchy</v>
          </cell>
          <cell r="K747">
            <v>45566</v>
          </cell>
          <cell r="L747">
            <v>45657</v>
          </cell>
          <cell r="M747" t="str">
            <v>C3</v>
          </cell>
          <cell r="N747" t="str">
            <v>DIGITAL MEDIA</v>
          </cell>
          <cell r="O747" t="str">
            <v>A230</v>
          </cell>
          <cell r="P747" t="str">
            <v>SOCIAL ADS</v>
          </cell>
          <cell r="Q747" t="str">
            <v>2024</v>
          </cell>
          <cell r="R747" t="str">
            <v>FA6CBM</v>
          </cell>
          <cell r="S747" t="str">
            <v>MERCADOLIBRE CHILE LTDA.</v>
          </cell>
          <cell r="T747" t="str">
            <v/>
          </cell>
        </row>
        <row r="748">
          <cell r="C748" t="str">
            <v>T24C850001152</v>
          </cell>
          <cell r="D748" t="str">
            <v>A24C850001596</v>
          </cell>
          <cell r="E748">
            <v>4000000</v>
          </cell>
          <cell r="F748">
            <v>0</v>
          </cell>
          <cell r="G748" t="str">
            <v>Mobile Phone</v>
          </cell>
          <cell r="H748" t="str">
            <v>[4]HHP AON Q4 RETAIL CAMPAIGN 2024</v>
          </cell>
          <cell r="I748" t="str">
            <v>Completed</v>
          </cell>
          <cell r="J748" t="str">
            <v>m.lavanchy</v>
          </cell>
          <cell r="K748">
            <v>45566</v>
          </cell>
          <cell r="L748">
            <v>45657</v>
          </cell>
          <cell r="M748" t="str">
            <v>G1</v>
          </cell>
          <cell r="N748" t="str">
            <v>DIGITAL MEDIA</v>
          </cell>
          <cell r="O748" t="str">
            <v>A240</v>
          </cell>
          <cell r="P748" t="str">
            <v>SEARCH</v>
          </cell>
          <cell r="Q748" t="str">
            <v>2024</v>
          </cell>
          <cell r="R748" t="str">
            <v>FA6CBM</v>
          </cell>
          <cell r="S748" t="str">
            <v>MERCADOLIBRE CHILE LTDA.</v>
          </cell>
          <cell r="T748" t="str">
            <v/>
          </cell>
        </row>
        <row r="749">
          <cell r="C749" t="str">
            <v>T24C850001152</v>
          </cell>
          <cell r="D749" t="str">
            <v>A24C850001596</v>
          </cell>
          <cell r="E749">
            <v>3000000</v>
          </cell>
          <cell r="F749">
            <v>0</v>
          </cell>
          <cell r="G749" t="str">
            <v>Mobile Phone</v>
          </cell>
          <cell r="H749" t="str">
            <v>[4]HHP AON Q4 RETAIL CAMPAIGN 2024</v>
          </cell>
          <cell r="I749" t="str">
            <v>Completed</v>
          </cell>
          <cell r="J749" t="str">
            <v>m.lavanchy</v>
          </cell>
          <cell r="K749">
            <v>45566</v>
          </cell>
          <cell r="L749">
            <v>45657</v>
          </cell>
          <cell r="M749" t="str">
            <v>G1</v>
          </cell>
          <cell r="N749" t="str">
            <v>DIGITAL MEDIA</v>
          </cell>
          <cell r="O749" t="str">
            <v>A240</v>
          </cell>
          <cell r="P749" t="str">
            <v>SEARCH</v>
          </cell>
          <cell r="Q749" t="str">
            <v>2024</v>
          </cell>
          <cell r="R749" t="str">
            <v>FA6CBM</v>
          </cell>
          <cell r="S749" t="str">
            <v>MERCADOLIBRE CHILE LTDA.</v>
          </cell>
          <cell r="T749" t="str">
            <v/>
          </cell>
        </row>
        <row r="750">
          <cell r="C750" t="str">
            <v>T24C850001152</v>
          </cell>
          <cell r="D750" t="str">
            <v>A24C850001596</v>
          </cell>
          <cell r="E750">
            <v>4000000</v>
          </cell>
          <cell r="F750">
            <v>0</v>
          </cell>
          <cell r="G750" t="str">
            <v>Mobile Phone</v>
          </cell>
          <cell r="H750" t="str">
            <v>[4]HHP AON Q4 RETAIL CAMPAIGN 2024</v>
          </cell>
          <cell r="I750" t="str">
            <v>Completed</v>
          </cell>
          <cell r="J750" t="str">
            <v>m.lavanchy</v>
          </cell>
          <cell r="K750">
            <v>45566</v>
          </cell>
          <cell r="L750">
            <v>45657</v>
          </cell>
          <cell r="M750" t="str">
            <v>G1</v>
          </cell>
          <cell r="N750" t="str">
            <v>DIGITAL MEDIA</v>
          </cell>
          <cell r="O750" t="str">
            <v>A240</v>
          </cell>
          <cell r="P750" t="str">
            <v>SEARCH</v>
          </cell>
          <cell r="Q750" t="str">
            <v>2024</v>
          </cell>
          <cell r="R750" t="str">
            <v>FA6CBM</v>
          </cell>
          <cell r="S750" t="str">
            <v>MERCADOLIBRE CHILE LTDA.</v>
          </cell>
          <cell r="T750" t="str">
            <v/>
          </cell>
        </row>
        <row r="751">
          <cell r="C751" t="str">
            <v>T24C850001152</v>
          </cell>
          <cell r="D751" t="str">
            <v>A24C850001596</v>
          </cell>
          <cell r="E751">
            <v>4000000</v>
          </cell>
          <cell r="F751">
            <v>0</v>
          </cell>
          <cell r="G751" t="str">
            <v>Mobile Phone</v>
          </cell>
          <cell r="H751" t="str">
            <v>[4]HHP AON Q4 RETAIL CAMPAIGN 2024</v>
          </cell>
          <cell r="I751" t="str">
            <v>Completed</v>
          </cell>
          <cell r="J751" t="str">
            <v>m.lavanchy</v>
          </cell>
          <cell r="K751">
            <v>45566</v>
          </cell>
          <cell r="L751">
            <v>45657</v>
          </cell>
          <cell r="M751" t="str">
            <v>G1</v>
          </cell>
          <cell r="N751" t="str">
            <v>DIGITAL MEDIA</v>
          </cell>
          <cell r="O751" t="str">
            <v>A230</v>
          </cell>
          <cell r="P751" t="str">
            <v>SOCIAL ADS</v>
          </cell>
          <cell r="Q751" t="str">
            <v>2024</v>
          </cell>
          <cell r="R751" t="str">
            <v>FA6CBM</v>
          </cell>
          <cell r="S751" t="str">
            <v>MERCADOLIBRE CHILE LTDA.</v>
          </cell>
          <cell r="T751" t="str">
            <v/>
          </cell>
        </row>
        <row r="752">
          <cell r="C752" t="str">
            <v>T24C850001152</v>
          </cell>
          <cell r="D752" t="str">
            <v>A24C850001596</v>
          </cell>
          <cell r="E752">
            <v>3000000</v>
          </cell>
          <cell r="F752">
            <v>0</v>
          </cell>
          <cell r="G752" t="str">
            <v>Mobile Phone</v>
          </cell>
          <cell r="H752" t="str">
            <v>[4]HHP AON Q4 RETAIL CAMPAIGN 2024</v>
          </cell>
          <cell r="I752" t="str">
            <v>Completed</v>
          </cell>
          <cell r="J752" t="str">
            <v>m.lavanchy</v>
          </cell>
          <cell r="K752">
            <v>45566</v>
          </cell>
          <cell r="L752">
            <v>45657</v>
          </cell>
          <cell r="M752" t="str">
            <v>G1</v>
          </cell>
          <cell r="N752" t="str">
            <v>DIGITAL MEDIA</v>
          </cell>
          <cell r="O752" t="str">
            <v>A230</v>
          </cell>
          <cell r="P752" t="str">
            <v>SOCIAL ADS</v>
          </cell>
          <cell r="Q752" t="str">
            <v>2024</v>
          </cell>
          <cell r="R752" t="str">
            <v>FA6CBM</v>
          </cell>
          <cell r="S752" t="str">
            <v>MERCADOLIBRE CHILE LTDA.</v>
          </cell>
          <cell r="T752" t="str">
            <v/>
          </cell>
        </row>
        <row r="753">
          <cell r="C753" t="str">
            <v>T24C850001152</v>
          </cell>
          <cell r="D753" t="str">
            <v>A24C850001596</v>
          </cell>
          <cell r="E753">
            <v>4000000</v>
          </cell>
          <cell r="F753">
            <v>0</v>
          </cell>
          <cell r="G753" t="str">
            <v>Mobile Phone</v>
          </cell>
          <cell r="H753" t="str">
            <v>[4]HHP AON Q4 RETAIL CAMPAIGN 2024</v>
          </cell>
          <cell r="I753" t="str">
            <v>Completed</v>
          </cell>
          <cell r="J753" t="str">
            <v>m.lavanchy</v>
          </cell>
          <cell r="K753">
            <v>45566</v>
          </cell>
          <cell r="L753">
            <v>45657</v>
          </cell>
          <cell r="M753" t="str">
            <v>G1</v>
          </cell>
          <cell r="N753" t="str">
            <v>DIGITAL MEDIA</v>
          </cell>
          <cell r="O753" t="str">
            <v>A230</v>
          </cell>
          <cell r="P753" t="str">
            <v>SOCIAL ADS</v>
          </cell>
          <cell r="Q753" t="str">
            <v>2024</v>
          </cell>
          <cell r="R753" t="str">
            <v>FA6CBM</v>
          </cell>
          <cell r="S753" t="str">
            <v>MERCADOLIBRE CHILE LTDA.</v>
          </cell>
          <cell r="T753" t="str">
            <v/>
          </cell>
        </row>
        <row r="754">
          <cell r="C754" t="str">
            <v>T24C850001255</v>
          </cell>
          <cell r="D754" t="str">
            <v>A24C850001731</v>
          </cell>
          <cell r="E754">
            <v>7500000</v>
          </cell>
          <cell r="F754">
            <v>0</v>
          </cell>
          <cell r="G754" t="str">
            <v>Mobile Phone</v>
          </cell>
          <cell r="H754" t="str">
            <v>[1]HHP S24 FE LAUNCH CAMPAIGN MELI OCTOBER</v>
          </cell>
          <cell r="I754" t="str">
            <v>Completed</v>
          </cell>
          <cell r="J754" t="str">
            <v>m.lavanchy</v>
          </cell>
          <cell r="K754">
            <v>45590</v>
          </cell>
          <cell r="L754">
            <v>45657</v>
          </cell>
          <cell r="M754" t="str">
            <v>G1</v>
          </cell>
          <cell r="N754" t="str">
            <v>DIGITAL MEDIA</v>
          </cell>
          <cell r="O754" t="str">
            <v>A250</v>
          </cell>
          <cell r="P754" t="str">
            <v>DISPLAY</v>
          </cell>
          <cell r="Q754" t="str">
            <v>2024</v>
          </cell>
          <cell r="R754" t="str">
            <v>FA6CBM</v>
          </cell>
          <cell r="S754" t="str">
            <v>MERCADOLIBRE CHILE LTDA.</v>
          </cell>
          <cell r="T754" t="str">
            <v/>
          </cell>
        </row>
        <row r="755">
          <cell r="C755" t="str">
            <v>T24C850001255</v>
          </cell>
          <cell r="D755" t="str">
            <v>A24C850001731</v>
          </cell>
          <cell r="E755">
            <v>7500000</v>
          </cell>
          <cell r="F755">
            <v>0</v>
          </cell>
          <cell r="G755" t="str">
            <v>Mobile Phone</v>
          </cell>
          <cell r="H755" t="str">
            <v>[1]HHP S24 FE LAUNCH CAMPAIGN MELI OCTOBER</v>
          </cell>
          <cell r="I755" t="str">
            <v>Completed</v>
          </cell>
          <cell r="J755" t="str">
            <v>m.lavanchy</v>
          </cell>
          <cell r="K755">
            <v>45590</v>
          </cell>
          <cell r="L755">
            <v>45657</v>
          </cell>
          <cell r="M755" t="str">
            <v>G1</v>
          </cell>
          <cell r="N755" t="str">
            <v>DIGITAL MEDIA</v>
          </cell>
          <cell r="O755" t="str">
            <v>A240</v>
          </cell>
          <cell r="P755" t="str">
            <v>SEARCH</v>
          </cell>
          <cell r="Q755" t="str">
            <v>2024</v>
          </cell>
          <cell r="R755" t="str">
            <v>FA6CBM</v>
          </cell>
          <cell r="S755" t="str">
            <v>MERCADOLIBRE CHILE LTDA.</v>
          </cell>
          <cell r="T755" t="str">
            <v/>
          </cell>
        </row>
        <row r="756">
          <cell r="C756" t="str">
            <v>T23C850000968</v>
          </cell>
          <cell r="D756" t="str">
            <v>A23C850001418</v>
          </cell>
          <cell r="E756">
            <v>-85821250</v>
          </cell>
          <cell r="F756">
            <v>0</v>
          </cell>
          <cell r="G756" t="str">
            <v>Mobile Phone</v>
          </cell>
          <cell r="H756" t="str">
            <v>[2]PLAN PROPOSAL Q3 2023 HHP SES COMKTG</v>
          </cell>
          <cell r="I756" t="str">
            <v>Closed</v>
          </cell>
          <cell r="J756" t="str">
            <v>y.malave</v>
          </cell>
          <cell r="K756">
            <v>45108</v>
          </cell>
          <cell r="L756">
            <v>45199</v>
          </cell>
          <cell r="M756" t="str">
            <v>G1</v>
          </cell>
          <cell r="N756" t="str">
            <v>RETAIL</v>
          </cell>
          <cell r="O756" t="str">
            <v>B150</v>
          </cell>
          <cell r="P756" t="str">
            <v>SES, SMS, SHOWCASE</v>
          </cell>
          <cell r="Q756" t="str">
            <v>2024</v>
          </cell>
          <cell r="R756" t="str">
            <v>FBWT2H</v>
          </cell>
          <cell r="S756" t="str">
            <v>PCF Retail SpA</v>
          </cell>
          <cell r="T756" t="str">
            <v/>
          </cell>
        </row>
        <row r="757">
          <cell r="C757" t="str">
            <v>T23C850000968</v>
          </cell>
          <cell r="D757" t="str">
            <v>A23C850001418</v>
          </cell>
          <cell r="E757">
            <v>-13500000</v>
          </cell>
          <cell r="F757">
            <v>0</v>
          </cell>
          <cell r="G757" t="str">
            <v>Mobile Phone</v>
          </cell>
          <cell r="H757" t="str">
            <v>[2]PLAN PROPOSAL Q3 2023 HHP SES COMKTG</v>
          </cell>
          <cell r="I757" t="str">
            <v>Closed</v>
          </cell>
          <cell r="J757" t="str">
            <v>y.malave</v>
          </cell>
          <cell r="K757">
            <v>45108</v>
          </cell>
          <cell r="L757">
            <v>45199</v>
          </cell>
          <cell r="M757" t="str">
            <v>G1</v>
          </cell>
          <cell r="N757" t="str">
            <v>TRADITIONAL MEDIA</v>
          </cell>
          <cell r="O757" t="str">
            <v>A130</v>
          </cell>
          <cell r="P757" t="str">
            <v>ADS NEWSPAPER</v>
          </cell>
          <cell r="Q757" t="str">
            <v>2024</v>
          </cell>
          <cell r="R757" t="str">
            <v>FBWT2H</v>
          </cell>
          <cell r="S757" t="str">
            <v>PCF Retail SpA</v>
          </cell>
          <cell r="T757" t="str">
            <v/>
          </cell>
        </row>
        <row r="758">
          <cell r="C758" t="str">
            <v>T23C850001497</v>
          </cell>
          <cell r="D758" t="str">
            <v>A23C850002185</v>
          </cell>
          <cell r="E758">
            <v>0</v>
          </cell>
          <cell r="F758">
            <v>61759224</v>
          </cell>
          <cell r="G758" t="str">
            <v>Mobile Phone</v>
          </cell>
          <cell r="H758" t="str">
            <v>[3]PLAN PROPOSAL Q4 2023 SES COMKTG</v>
          </cell>
          <cell r="I758" t="str">
            <v>Closed</v>
          </cell>
          <cell r="J758" t="str">
            <v>f.sarquis</v>
          </cell>
          <cell r="K758">
            <v>45200</v>
          </cell>
          <cell r="L758">
            <v>45291</v>
          </cell>
          <cell r="M758" t="str">
            <v>G1</v>
          </cell>
          <cell r="N758" t="str">
            <v>RETAIL</v>
          </cell>
          <cell r="O758" t="str">
            <v>B150</v>
          </cell>
          <cell r="P758" t="str">
            <v>SES, SMS, SHOWCASE</v>
          </cell>
          <cell r="Q758" t="str">
            <v>2024</v>
          </cell>
          <cell r="R758" t="str">
            <v>FBWT2H</v>
          </cell>
          <cell r="S758" t="str">
            <v>PCF Retail SpA</v>
          </cell>
          <cell r="T758" t="str">
            <v/>
          </cell>
        </row>
        <row r="759">
          <cell r="C759" t="str">
            <v>T23C850001497</v>
          </cell>
          <cell r="D759" t="str">
            <v>A23C850002185</v>
          </cell>
          <cell r="E759">
            <v>-23240776</v>
          </cell>
          <cell r="F759">
            <v>0</v>
          </cell>
          <cell r="G759" t="str">
            <v>Mobile Phone</v>
          </cell>
          <cell r="H759" t="str">
            <v>[3]PLAN PROPOSAL Q4 2023 SES COMKTG</v>
          </cell>
          <cell r="I759" t="str">
            <v>Closed</v>
          </cell>
          <cell r="J759" t="str">
            <v>f.sarquis</v>
          </cell>
          <cell r="K759">
            <v>45200</v>
          </cell>
          <cell r="L759">
            <v>45291</v>
          </cell>
          <cell r="M759" t="str">
            <v>G1</v>
          </cell>
          <cell r="N759" t="str">
            <v>RETAIL</v>
          </cell>
          <cell r="O759" t="str">
            <v>B150</v>
          </cell>
          <cell r="P759" t="str">
            <v>SES, SMS, SHOWCASE</v>
          </cell>
          <cell r="Q759" t="str">
            <v>2024</v>
          </cell>
          <cell r="R759" t="str">
            <v>FBWT2H</v>
          </cell>
          <cell r="S759" t="str">
            <v>PCF Retail SpA</v>
          </cell>
          <cell r="T759" t="str">
            <v/>
          </cell>
        </row>
        <row r="760">
          <cell r="C760" t="str">
            <v>T23C850001497</v>
          </cell>
          <cell r="D760" t="str">
            <v>A23C850002185</v>
          </cell>
          <cell r="E760">
            <v>0</v>
          </cell>
          <cell r="F760">
            <v>13500000</v>
          </cell>
          <cell r="G760" t="str">
            <v>Mobile Phone</v>
          </cell>
          <cell r="H760" t="str">
            <v>[3]PLAN PROPOSAL Q4 2023 SES COMKTG</v>
          </cell>
          <cell r="I760" t="str">
            <v>Closed</v>
          </cell>
          <cell r="J760" t="str">
            <v>f.sarquis</v>
          </cell>
          <cell r="K760">
            <v>45200</v>
          </cell>
          <cell r="L760">
            <v>45291</v>
          </cell>
          <cell r="M760" t="str">
            <v>G1</v>
          </cell>
          <cell r="N760" t="str">
            <v>SALES PROMOTION</v>
          </cell>
          <cell r="O760" t="str">
            <v>B240</v>
          </cell>
          <cell r="P760" t="str">
            <v>CUSTOMER TARGET INCENTIVE</v>
          </cell>
          <cell r="Q760" t="str">
            <v>2024</v>
          </cell>
          <cell r="R760" t="str">
            <v>FBWT2H</v>
          </cell>
          <cell r="S760" t="str">
            <v>PCF Retail SpA</v>
          </cell>
          <cell r="T760" t="str">
            <v/>
          </cell>
        </row>
        <row r="761">
          <cell r="C761" t="str">
            <v>T24C850000008</v>
          </cell>
          <cell r="D761" t="str">
            <v>A24C850000046</v>
          </cell>
          <cell r="E761">
            <v>6392786</v>
          </cell>
          <cell r="F761">
            <v>0</v>
          </cell>
          <cell r="G761" t="str">
            <v>Mobile Phone</v>
          </cell>
          <cell r="H761" t="str">
            <v>[2]PLAN PROPOSAL Q1 2024 SES COMKTG</v>
          </cell>
          <cell r="I761" t="str">
            <v>Closed</v>
          </cell>
          <cell r="J761" t="str">
            <v>n.soto</v>
          </cell>
          <cell r="K761">
            <v>45292</v>
          </cell>
          <cell r="L761">
            <v>45382</v>
          </cell>
          <cell r="M761" t="str">
            <v>G1</v>
          </cell>
          <cell r="N761" t="str">
            <v>SALES PROMOTION</v>
          </cell>
          <cell r="O761" t="str">
            <v>B240</v>
          </cell>
          <cell r="P761" t="str">
            <v>CUSTOMER TARGET INCENTIVE</v>
          </cell>
          <cell r="Q761" t="str">
            <v>2024</v>
          </cell>
          <cell r="R761" t="str">
            <v>FBWT2H</v>
          </cell>
          <cell r="S761" t="str">
            <v>PCF Retail SpA</v>
          </cell>
          <cell r="T761" t="str">
            <v/>
          </cell>
        </row>
        <row r="762">
          <cell r="C762" t="str">
            <v>T24C850000008</v>
          </cell>
          <cell r="D762" t="str">
            <v>A24C850000046</v>
          </cell>
          <cell r="E762">
            <v>7749594</v>
          </cell>
          <cell r="F762">
            <v>6392786</v>
          </cell>
          <cell r="G762" t="str">
            <v>Mobile Phone</v>
          </cell>
          <cell r="H762" t="str">
            <v>[2]PLAN PROPOSAL Q1 2024 SES COMKTG</v>
          </cell>
          <cell r="I762" t="str">
            <v>Closed</v>
          </cell>
          <cell r="J762" t="str">
            <v>n.soto</v>
          </cell>
          <cell r="K762">
            <v>45292</v>
          </cell>
          <cell r="L762">
            <v>45382</v>
          </cell>
          <cell r="M762" t="str">
            <v>G1</v>
          </cell>
          <cell r="N762" t="str">
            <v>SALES PROMOTION</v>
          </cell>
          <cell r="O762" t="str">
            <v>B240</v>
          </cell>
          <cell r="P762" t="str">
            <v>CUSTOMER TARGET INCENTIVE</v>
          </cell>
          <cell r="Q762" t="str">
            <v>2024</v>
          </cell>
          <cell r="R762" t="str">
            <v>FBWT2H</v>
          </cell>
          <cell r="S762" t="str">
            <v>PCF Retail SpA</v>
          </cell>
          <cell r="T762" t="str">
            <v/>
          </cell>
        </row>
        <row r="763">
          <cell r="C763" t="str">
            <v>T24C850000008</v>
          </cell>
          <cell r="D763" t="str">
            <v>A24C850000046</v>
          </cell>
          <cell r="E763">
            <v>9224794</v>
          </cell>
          <cell r="F763">
            <v>7749594</v>
          </cell>
          <cell r="G763" t="str">
            <v>Mobile Phone</v>
          </cell>
          <cell r="H763" t="str">
            <v>[2]PLAN PROPOSAL Q1 2024 SES COMKTG</v>
          </cell>
          <cell r="I763" t="str">
            <v>Closed</v>
          </cell>
          <cell r="J763" t="str">
            <v>n.soto</v>
          </cell>
          <cell r="K763">
            <v>45292</v>
          </cell>
          <cell r="L763">
            <v>45382</v>
          </cell>
          <cell r="M763" t="str">
            <v>G1</v>
          </cell>
          <cell r="N763" t="str">
            <v>SALES PROMOTION</v>
          </cell>
          <cell r="O763" t="str">
            <v>B240</v>
          </cell>
          <cell r="P763" t="str">
            <v>CUSTOMER TARGET INCENTIVE</v>
          </cell>
          <cell r="Q763" t="str">
            <v>2024</v>
          </cell>
          <cell r="R763" t="str">
            <v>FBWT2H</v>
          </cell>
          <cell r="S763" t="str">
            <v>PCF Retail SpA</v>
          </cell>
          <cell r="T763" t="str">
            <v/>
          </cell>
        </row>
        <row r="764">
          <cell r="C764" t="str">
            <v>T24C850000008</v>
          </cell>
          <cell r="D764" t="str">
            <v>A24C850000046</v>
          </cell>
          <cell r="E764">
            <v>0</v>
          </cell>
          <cell r="F764">
            <v>9224794</v>
          </cell>
          <cell r="G764" t="str">
            <v>Mobile Phone</v>
          </cell>
          <cell r="H764" t="str">
            <v>[2]PLAN PROPOSAL Q1 2024 SES COMKTG</v>
          </cell>
          <cell r="I764" t="str">
            <v>Closed</v>
          </cell>
          <cell r="J764" t="str">
            <v>n.soto</v>
          </cell>
          <cell r="K764">
            <v>45292</v>
          </cell>
          <cell r="L764">
            <v>45382</v>
          </cell>
          <cell r="M764" t="str">
            <v>G1</v>
          </cell>
          <cell r="N764" t="str">
            <v>SALES PROMOTION</v>
          </cell>
          <cell r="O764" t="str">
            <v>B240</v>
          </cell>
          <cell r="P764" t="str">
            <v>CUSTOMER TARGET INCENTIVE</v>
          </cell>
          <cell r="Q764" t="str">
            <v>2024</v>
          </cell>
          <cell r="R764" t="str">
            <v>FBWT2H</v>
          </cell>
          <cell r="S764" t="str">
            <v>PCF Retail SpA</v>
          </cell>
          <cell r="T764" t="str">
            <v/>
          </cell>
        </row>
        <row r="765">
          <cell r="C765" t="str">
            <v>T24C850000155</v>
          </cell>
          <cell r="D765" t="str">
            <v>A24C850000287</v>
          </cell>
          <cell r="E765">
            <v>7186760</v>
          </cell>
          <cell r="F765">
            <v>0</v>
          </cell>
          <cell r="G765" t="str">
            <v>Mobile Phone</v>
          </cell>
          <cell r="H765" t="str">
            <v>[2]PUMI APPROVED/HHP/V.GONZALEZG/PURCHASE RDU EUREKA</v>
          </cell>
          <cell r="I765" t="str">
            <v>Closed</v>
          </cell>
          <cell r="J765" t="str">
            <v>y.malave</v>
          </cell>
          <cell r="K765">
            <v>45313</v>
          </cell>
          <cell r="L765">
            <v>45382</v>
          </cell>
          <cell r="M765" t="str">
            <v>G1</v>
          </cell>
          <cell r="N765" t="str">
            <v>RETAIL</v>
          </cell>
          <cell r="O765" t="str">
            <v>B120</v>
          </cell>
          <cell r="P765" t="str">
            <v>SHELF MERCHANDISING</v>
          </cell>
          <cell r="Q765" t="str">
            <v>2024</v>
          </cell>
          <cell r="R765" t="str">
            <v>FBWT2H</v>
          </cell>
          <cell r="S765" t="str">
            <v>PCF Retail SpA</v>
          </cell>
          <cell r="T765" t="str">
            <v/>
          </cell>
        </row>
        <row r="766">
          <cell r="C766" t="str">
            <v>T24C850000155</v>
          </cell>
          <cell r="D766" t="str">
            <v>A24C850000287</v>
          </cell>
          <cell r="E766">
            <v>0</v>
          </cell>
          <cell r="F766">
            <v>7186760</v>
          </cell>
          <cell r="G766" t="str">
            <v>Mobile Phone</v>
          </cell>
          <cell r="H766" t="str">
            <v>[2]PUMI APPROVED/HHP/V.GONZALEZG/PURCHASE RDU EUREKA</v>
          </cell>
          <cell r="I766" t="str">
            <v>Closed</v>
          </cell>
          <cell r="J766" t="str">
            <v>y.malave</v>
          </cell>
          <cell r="K766">
            <v>45313</v>
          </cell>
          <cell r="L766">
            <v>45382</v>
          </cell>
          <cell r="M766" t="str">
            <v>G1</v>
          </cell>
          <cell r="N766" t="str">
            <v>RETAIL</v>
          </cell>
          <cell r="O766" t="str">
            <v>B120</v>
          </cell>
          <cell r="P766" t="str">
            <v>SHELF MERCHANDISING</v>
          </cell>
          <cell r="Q766" t="str">
            <v>2024</v>
          </cell>
          <cell r="R766" t="str">
            <v>FBWT2H</v>
          </cell>
          <cell r="S766" t="str">
            <v>PCF Retail SpA</v>
          </cell>
          <cell r="T766" t="str">
            <v/>
          </cell>
        </row>
        <row r="767">
          <cell r="C767" t="str">
            <v>T24C850000369</v>
          </cell>
          <cell r="D767" t="str">
            <v>A24C850000533</v>
          </cell>
          <cell r="E767">
            <v>4229384</v>
          </cell>
          <cell r="F767">
            <v>0</v>
          </cell>
          <cell r="G767" t="str">
            <v>Mobile Phone</v>
          </cell>
          <cell r="H767" t="str">
            <v>[2]PLAN PROPOSAL Q2 2024 SES COMKTG</v>
          </cell>
          <cell r="I767" t="str">
            <v>Completed</v>
          </cell>
          <cell r="J767" t="str">
            <v>n.soto</v>
          </cell>
          <cell r="K767">
            <v>45383</v>
          </cell>
          <cell r="L767">
            <v>45473</v>
          </cell>
          <cell r="M767" t="str">
            <v>G1</v>
          </cell>
          <cell r="N767" t="str">
            <v>RETAIL</v>
          </cell>
          <cell r="O767" t="str">
            <v>B150</v>
          </cell>
          <cell r="P767" t="str">
            <v>SES, SMS, SHOWCASE</v>
          </cell>
          <cell r="Q767" t="str">
            <v>2024</v>
          </cell>
          <cell r="R767" t="str">
            <v>FBWT2H</v>
          </cell>
          <cell r="S767" t="str">
            <v>PCF Retail SpA</v>
          </cell>
          <cell r="T767" t="str">
            <v/>
          </cell>
        </row>
        <row r="768">
          <cell r="C768" t="str">
            <v>T24C850000369</v>
          </cell>
          <cell r="D768" t="str">
            <v>A24C850000533</v>
          </cell>
          <cell r="E768">
            <v>845877</v>
          </cell>
          <cell r="F768">
            <v>0</v>
          </cell>
          <cell r="G768" t="str">
            <v>Mobile Phone</v>
          </cell>
          <cell r="H768" t="str">
            <v>[2]PLAN PROPOSAL Q2 2024 SES COMKTG</v>
          </cell>
          <cell r="I768" t="str">
            <v>Completed</v>
          </cell>
          <cell r="J768" t="str">
            <v>n.soto</v>
          </cell>
          <cell r="K768">
            <v>45383</v>
          </cell>
          <cell r="L768">
            <v>45473</v>
          </cell>
          <cell r="M768" t="str">
            <v>G1</v>
          </cell>
          <cell r="N768" t="str">
            <v>RETAIL</v>
          </cell>
          <cell r="O768" t="str">
            <v>B150</v>
          </cell>
          <cell r="P768" t="str">
            <v>SES, SMS, SHOWCASE</v>
          </cell>
          <cell r="Q768" t="str">
            <v>2024</v>
          </cell>
          <cell r="R768" t="str">
            <v>FBWT2H</v>
          </cell>
          <cell r="S768" t="str">
            <v>PCF Retail SpA</v>
          </cell>
          <cell r="T768" t="str">
            <v/>
          </cell>
        </row>
        <row r="769">
          <cell r="C769" t="str">
            <v>T24C850000369</v>
          </cell>
          <cell r="D769" t="str">
            <v>A24C850000533</v>
          </cell>
          <cell r="E769">
            <v>0</v>
          </cell>
          <cell r="F769">
            <v>3421299</v>
          </cell>
          <cell r="G769" t="str">
            <v>Mobile Phone</v>
          </cell>
          <cell r="H769" t="str">
            <v>[2]PLAN PROPOSAL Q2 2024 SES COMKTG</v>
          </cell>
          <cell r="I769" t="str">
            <v>Completed</v>
          </cell>
          <cell r="J769" t="str">
            <v>n.soto</v>
          </cell>
          <cell r="K769">
            <v>45383</v>
          </cell>
          <cell r="L769">
            <v>45473</v>
          </cell>
          <cell r="M769" t="str">
            <v>G1</v>
          </cell>
          <cell r="N769" t="str">
            <v>RETAIL</v>
          </cell>
          <cell r="O769" t="str">
            <v>B150</v>
          </cell>
          <cell r="P769" t="str">
            <v>SES, SMS, SHOWCASE</v>
          </cell>
          <cell r="Q769" t="str">
            <v>2024</v>
          </cell>
          <cell r="R769" t="str">
            <v>FBWT2H</v>
          </cell>
          <cell r="S769" t="str">
            <v>PCF Retail SpA</v>
          </cell>
          <cell r="T769" t="str">
            <v/>
          </cell>
        </row>
        <row r="770">
          <cell r="C770" t="str">
            <v>T24C850000369</v>
          </cell>
          <cell r="D770" t="str">
            <v>A24C850000533</v>
          </cell>
          <cell r="E770">
            <v>11838166</v>
          </cell>
          <cell r="F770">
            <v>0</v>
          </cell>
          <cell r="G770" t="str">
            <v>Mobile Phone</v>
          </cell>
          <cell r="H770" t="str">
            <v>[2]PLAN PROPOSAL Q2 2024 SES COMKTG</v>
          </cell>
          <cell r="I770" t="str">
            <v>Completed</v>
          </cell>
          <cell r="J770" t="str">
            <v>n.soto</v>
          </cell>
          <cell r="K770">
            <v>45383</v>
          </cell>
          <cell r="L770">
            <v>45473</v>
          </cell>
          <cell r="M770" t="str">
            <v>G1</v>
          </cell>
          <cell r="N770" t="str">
            <v>SALES PROMOTION</v>
          </cell>
          <cell r="O770" t="str">
            <v>B240</v>
          </cell>
          <cell r="P770" t="str">
            <v>CUSTOMER TARGET INCENTIVE</v>
          </cell>
          <cell r="Q770" t="str">
            <v>2024</v>
          </cell>
          <cell r="R770" t="str">
            <v>FBWT2H</v>
          </cell>
          <cell r="S770" t="str">
            <v>PCF Retail SpA</v>
          </cell>
          <cell r="T770" t="str">
            <v/>
          </cell>
        </row>
        <row r="771">
          <cell r="C771" t="str">
            <v>T24C850000369</v>
          </cell>
          <cell r="D771" t="str">
            <v>A24C850000533</v>
          </cell>
          <cell r="E771">
            <v>11015126</v>
          </cell>
          <cell r="F771">
            <v>0</v>
          </cell>
          <cell r="G771" t="str">
            <v>Mobile Phone</v>
          </cell>
          <cell r="H771" t="str">
            <v>[2]PLAN PROPOSAL Q2 2024 SES COMKTG</v>
          </cell>
          <cell r="I771" t="str">
            <v>Completed</v>
          </cell>
          <cell r="J771" t="str">
            <v>n.soto</v>
          </cell>
          <cell r="K771">
            <v>45383</v>
          </cell>
          <cell r="L771">
            <v>45473</v>
          </cell>
          <cell r="M771" t="str">
            <v>G1</v>
          </cell>
          <cell r="N771" t="str">
            <v>SALES PROMOTION</v>
          </cell>
          <cell r="O771" t="str">
            <v>B240</v>
          </cell>
          <cell r="P771" t="str">
            <v>CUSTOMER TARGET INCENTIVE</v>
          </cell>
          <cell r="Q771" t="str">
            <v>2024</v>
          </cell>
          <cell r="R771" t="str">
            <v>FBWT2H</v>
          </cell>
          <cell r="S771" t="str">
            <v>PCF Retail SpA</v>
          </cell>
          <cell r="T771" t="str">
            <v/>
          </cell>
        </row>
        <row r="772">
          <cell r="C772" t="str">
            <v>T24C850000369</v>
          </cell>
          <cell r="D772" t="str">
            <v>A24C850000533</v>
          </cell>
          <cell r="E772">
            <v>11266839</v>
          </cell>
          <cell r="F772">
            <v>22853292</v>
          </cell>
          <cell r="G772" t="str">
            <v>Mobile Phone</v>
          </cell>
          <cell r="H772" t="str">
            <v>[2]PLAN PROPOSAL Q2 2024 SES COMKTG</v>
          </cell>
          <cell r="I772" t="str">
            <v>Completed</v>
          </cell>
          <cell r="J772" t="str">
            <v>n.soto</v>
          </cell>
          <cell r="K772">
            <v>45383</v>
          </cell>
          <cell r="L772">
            <v>45473</v>
          </cell>
          <cell r="M772" t="str">
            <v>G1</v>
          </cell>
          <cell r="N772" t="str">
            <v>SALES PROMOTION</v>
          </cell>
          <cell r="O772" t="str">
            <v>B240</v>
          </cell>
          <cell r="P772" t="str">
            <v>CUSTOMER TARGET INCENTIVE</v>
          </cell>
          <cell r="Q772" t="str">
            <v>2024</v>
          </cell>
          <cell r="R772" t="str">
            <v>FBWT2H</v>
          </cell>
          <cell r="S772" t="str">
            <v>PCF Retail SpA</v>
          </cell>
          <cell r="T772" t="str">
            <v/>
          </cell>
        </row>
        <row r="773">
          <cell r="C773" t="str">
            <v>T24C850000369</v>
          </cell>
          <cell r="D773" t="str">
            <v>A24C850000533</v>
          </cell>
          <cell r="E773">
            <v>0</v>
          </cell>
          <cell r="F773">
            <v>11266839</v>
          </cell>
          <cell r="G773" t="str">
            <v>Mobile Phone</v>
          </cell>
          <cell r="H773" t="str">
            <v>[2]PLAN PROPOSAL Q2 2024 SES COMKTG</v>
          </cell>
          <cell r="I773" t="str">
            <v>Completed</v>
          </cell>
          <cell r="J773" t="str">
            <v>n.soto</v>
          </cell>
          <cell r="K773">
            <v>45383</v>
          </cell>
          <cell r="L773">
            <v>45473</v>
          </cell>
          <cell r="M773" t="str">
            <v>G1</v>
          </cell>
          <cell r="N773" t="str">
            <v>SALES PROMOTION</v>
          </cell>
          <cell r="O773" t="str">
            <v>B240</v>
          </cell>
          <cell r="P773" t="str">
            <v>CUSTOMER TARGET INCENTIVE</v>
          </cell>
          <cell r="Q773" t="str">
            <v>2024</v>
          </cell>
          <cell r="R773" t="str">
            <v>FBWT2H</v>
          </cell>
          <cell r="S773" t="str">
            <v>PCF Retail SpA</v>
          </cell>
          <cell r="T773" t="str">
            <v/>
          </cell>
        </row>
        <row r="774">
          <cell r="C774" t="str">
            <v>T24C850000892</v>
          </cell>
          <cell r="D774" t="str">
            <v>A24C850001188</v>
          </cell>
          <cell r="E774">
            <v>90000000</v>
          </cell>
          <cell r="F774">
            <v>0</v>
          </cell>
          <cell r="G774" t="str">
            <v>Mobile Phone</v>
          </cell>
          <cell r="H774" t="str">
            <v>[2]PLAN PROPOSAL Q3 2024 SES COMKTG</v>
          </cell>
          <cell r="I774" t="str">
            <v>Completed</v>
          </cell>
          <cell r="J774" t="str">
            <v>n.soto</v>
          </cell>
          <cell r="K774">
            <v>45486</v>
          </cell>
          <cell r="L774">
            <v>45565</v>
          </cell>
          <cell r="M774" t="str">
            <v>G1</v>
          </cell>
          <cell r="N774" t="str">
            <v>RETAIL</v>
          </cell>
          <cell r="O774" t="str">
            <v>B150</v>
          </cell>
          <cell r="P774" t="str">
            <v>SES, SMS, SHOWCASE</v>
          </cell>
          <cell r="Q774" t="str">
            <v>2024</v>
          </cell>
          <cell r="R774" t="str">
            <v>FBWT2H</v>
          </cell>
          <cell r="S774" t="str">
            <v>PCF Retail SpA</v>
          </cell>
          <cell r="T774" t="str">
            <v/>
          </cell>
        </row>
        <row r="775">
          <cell r="C775" t="str">
            <v>T24C850000892</v>
          </cell>
          <cell r="D775" t="str">
            <v>A24C850001188</v>
          </cell>
          <cell r="E775">
            <v>10692746</v>
          </cell>
          <cell r="F775">
            <v>0</v>
          </cell>
          <cell r="G775" t="str">
            <v>Mobile Phone</v>
          </cell>
          <cell r="H775" t="str">
            <v>[2]PLAN PROPOSAL Q3 2024 SES COMKTG</v>
          </cell>
          <cell r="I775" t="str">
            <v>Completed</v>
          </cell>
          <cell r="J775" t="str">
            <v>n.soto</v>
          </cell>
          <cell r="K775">
            <v>45486</v>
          </cell>
          <cell r="L775">
            <v>45565</v>
          </cell>
          <cell r="M775" t="str">
            <v>G1</v>
          </cell>
          <cell r="N775" t="str">
            <v>SALES PROMOTION</v>
          </cell>
          <cell r="O775" t="str">
            <v>B240</v>
          </cell>
          <cell r="P775" t="str">
            <v>CUSTOMER TARGET INCENTIVE</v>
          </cell>
          <cell r="Q775" t="str">
            <v>2024</v>
          </cell>
          <cell r="R775" t="str">
            <v>FBWT2H</v>
          </cell>
          <cell r="S775" t="str">
            <v>PCF Retail SpA</v>
          </cell>
          <cell r="T775" t="str">
            <v/>
          </cell>
        </row>
        <row r="776">
          <cell r="C776" t="str">
            <v>T24C850000892</v>
          </cell>
          <cell r="D776" t="str">
            <v>A24C850001188</v>
          </cell>
          <cell r="E776">
            <v>13259327</v>
          </cell>
          <cell r="F776">
            <v>0</v>
          </cell>
          <cell r="G776" t="str">
            <v>Mobile Phone</v>
          </cell>
          <cell r="H776" t="str">
            <v>[2]PLAN PROPOSAL Q3 2024 SES COMKTG</v>
          </cell>
          <cell r="I776" t="str">
            <v>Completed</v>
          </cell>
          <cell r="J776" t="str">
            <v>n.soto</v>
          </cell>
          <cell r="K776">
            <v>45486</v>
          </cell>
          <cell r="L776">
            <v>45565</v>
          </cell>
          <cell r="M776" t="str">
            <v>G1</v>
          </cell>
          <cell r="N776" t="str">
            <v>SALES PROMOTION</v>
          </cell>
          <cell r="O776" t="str">
            <v>B240</v>
          </cell>
          <cell r="P776" t="str">
            <v>CUSTOMER TARGET INCENTIVE</v>
          </cell>
          <cell r="Q776" t="str">
            <v>2024</v>
          </cell>
          <cell r="R776" t="str">
            <v>FBWT2H</v>
          </cell>
          <cell r="S776" t="str">
            <v>PCF Retail SpA</v>
          </cell>
          <cell r="T776" t="str">
            <v/>
          </cell>
        </row>
        <row r="777">
          <cell r="C777" t="str">
            <v>T24C850000892</v>
          </cell>
          <cell r="D777" t="str">
            <v>A24C850001188</v>
          </cell>
          <cell r="E777">
            <v>14143806</v>
          </cell>
          <cell r="F777">
            <v>0</v>
          </cell>
          <cell r="G777" t="str">
            <v>Mobile Phone</v>
          </cell>
          <cell r="H777" t="str">
            <v>[2]PLAN PROPOSAL Q3 2024 SES COMKTG</v>
          </cell>
          <cell r="I777" t="str">
            <v>Completed</v>
          </cell>
          <cell r="J777" t="str">
            <v>n.soto</v>
          </cell>
          <cell r="K777">
            <v>45486</v>
          </cell>
          <cell r="L777">
            <v>45565</v>
          </cell>
          <cell r="M777" t="str">
            <v>G1</v>
          </cell>
          <cell r="N777" t="str">
            <v>SALES PROMOTION</v>
          </cell>
          <cell r="O777" t="str">
            <v>B240</v>
          </cell>
          <cell r="P777" t="str">
            <v>CUSTOMER TARGET INCENTIVE</v>
          </cell>
          <cell r="Q777" t="str">
            <v>2024</v>
          </cell>
          <cell r="R777" t="str">
            <v>FBWT2H</v>
          </cell>
          <cell r="S777" t="str">
            <v>PCF Retail SpA</v>
          </cell>
          <cell r="T777" t="str">
            <v/>
          </cell>
        </row>
        <row r="778">
          <cell r="C778" t="str">
            <v>T24C850000892</v>
          </cell>
          <cell r="D778" t="str">
            <v>A24C850001188</v>
          </cell>
          <cell r="E778">
            <v>0</v>
          </cell>
          <cell r="F778">
            <v>19869242</v>
          </cell>
          <cell r="G778" t="str">
            <v>Mobile Phone</v>
          </cell>
          <cell r="H778" t="str">
            <v>[2]PLAN PROPOSAL Q3 2024 SES COMKTG</v>
          </cell>
          <cell r="I778" t="str">
            <v>Completed</v>
          </cell>
          <cell r="J778" t="str">
            <v>n.soto</v>
          </cell>
          <cell r="K778">
            <v>45486</v>
          </cell>
          <cell r="L778">
            <v>45565</v>
          </cell>
          <cell r="M778" t="str">
            <v>G1</v>
          </cell>
          <cell r="N778" t="str">
            <v>SALES PROMOTION</v>
          </cell>
          <cell r="O778" t="str">
            <v>B240</v>
          </cell>
          <cell r="P778" t="str">
            <v>CUSTOMER TARGET INCENTIVE</v>
          </cell>
          <cell r="Q778" t="str">
            <v>2024</v>
          </cell>
          <cell r="R778" t="str">
            <v>FBWT2H</v>
          </cell>
          <cell r="S778" t="str">
            <v>PCF Retail SpA</v>
          </cell>
          <cell r="T778" t="str">
            <v/>
          </cell>
        </row>
        <row r="779">
          <cell r="C779" t="str">
            <v>T24C850001022</v>
          </cell>
          <cell r="D779" t="str">
            <v>A24C850001424</v>
          </cell>
          <cell r="E779">
            <v>3000000</v>
          </cell>
          <cell r="F779">
            <v>0</v>
          </cell>
          <cell r="G779" t="str">
            <v>Mobile Phone</v>
          </cell>
          <cell r="H779" t="str">
            <v>[1]PUMI APPROVED/HHP/V.GONZALEZG/PC FACTORY-PURCHASE RDU B6Q6</v>
          </cell>
          <cell r="I779" t="str">
            <v>Completed</v>
          </cell>
          <cell r="J779" t="str">
            <v>y.malave</v>
          </cell>
          <cell r="K779">
            <v>45534</v>
          </cell>
          <cell r="L779">
            <v>45611</v>
          </cell>
          <cell r="M779" t="str">
            <v>G1</v>
          </cell>
          <cell r="N779" t="str">
            <v>RETAIL</v>
          </cell>
          <cell r="O779" t="str">
            <v>B120</v>
          </cell>
          <cell r="P779" t="str">
            <v>SHELF MERCHANDISING</v>
          </cell>
          <cell r="Q779" t="str">
            <v>2024</v>
          </cell>
          <cell r="R779" t="str">
            <v>FBWT2H</v>
          </cell>
          <cell r="S779" t="str">
            <v>PCF Retail SpA</v>
          </cell>
          <cell r="T779" t="str">
            <v/>
          </cell>
        </row>
        <row r="780">
          <cell r="C780" t="str">
            <v>T24C850001022</v>
          </cell>
          <cell r="D780" t="str">
            <v>A24C850001424</v>
          </cell>
          <cell r="E780">
            <v>5662636</v>
          </cell>
          <cell r="F780">
            <v>0</v>
          </cell>
          <cell r="G780" t="str">
            <v>Mobile Phone</v>
          </cell>
          <cell r="H780" t="str">
            <v>[1]PUMI APPROVED/HHP/V.GONZALEZG/PC FACTORY-PURCHASE RDU B6Q6</v>
          </cell>
          <cell r="I780" t="str">
            <v>Completed</v>
          </cell>
          <cell r="J780" t="str">
            <v>y.malave</v>
          </cell>
          <cell r="K780">
            <v>45534</v>
          </cell>
          <cell r="L780">
            <v>45611</v>
          </cell>
          <cell r="M780" t="str">
            <v>G1</v>
          </cell>
          <cell r="N780" t="str">
            <v>RETAIL</v>
          </cell>
          <cell r="O780" t="str">
            <v>B120</v>
          </cell>
          <cell r="P780" t="str">
            <v>SHELF MERCHANDISING</v>
          </cell>
          <cell r="Q780" t="str">
            <v>2024</v>
          </cell>
          <cell r="R780" t="str">
            <v>FBWT2H</v>
          </cell>
          <cell r="S780" t="str">
            <v>PCF Retail SpA</v>
          </cell>
          <cell r="T780" t="str">
            <v/>
          </cell>
        </row>
        <row r="781">
          <cell r="C781" t="str">
            <v>T24C850001183</v>
          </cell>
          <cell r="D781" t="str">
            <v>A24C850001606</v>
          </cell>
          <cell r="E781">
            <v>11673066</v>
          </cell>
          <cell r="F781">
            <v>0</v>
          </cell>
          <cell r="G781" t="str">
            <v>Mobile Phone</v>
          </cell>
          <cell r="H781" t="str">
            <v>[3]PLAN PROPOSAL Q4 2024 SES (CONSTRUCTION + SPACE RENTAL)</v>
          </cell>
          <cell r="I781" t="str">
            <v>Completed</v>
          </cell>
          <cell r="J781" t="str">
            <v>n.soto</v>
          </cell>
          <cell r="K781">
            <v>45566</v>
          </cell>
          <cell r="L781">
            <v>45657</v>
          </cell>
          <cell r="M781" t="str">
            <v>G1</v>
          </cell>
          <cell r="N781" t="str">
            <v>RETAIL</v>
          </cell>
          <cell r="O781" t="str">
            <v>B160</v>
          </cell>
          <cell r="P781" t="str">
            <v>SET-UP / OPERATION</v>
          </cell>
          <cell r="Q781" t="str">
            <v>2024</v>
          </cell>
          <cell r="R781" t="str">
            <v>FBWT2H</v>
          </cell>
          <cell r="S781" t="str">
            <v>PCF Retail SpA</v>
          </cell>
          <cell r="T781" t="str">
            <v/>
          </cell>
        </row>
        <row r="782">
          <cell r="C782" t="str">
            <v>T24C850001183</v>
          </cell>
          <cell r="D782" t="str">
            <v>A24C850001606</v>
          </cell>
          <cell r="E782">
            <v>11602153</v>
          </cell>
          <cell r="F782">
            <v>0</v>
          </cell>
          <cell r="G782" t="str">
            <v>Mobile Phone</v>
          </cell>
          <cell r="H782" t="str">
            <v>[3]PLAN PROPOSAL Q4 2024 SES (CONSTRUCTION + SPACE RENTAL)</v>
          </cell>
          <cell r="I782" t="str">
            <v>Completed</v>
          </cell>
          <cell r="J782" t="str">
            <v>n.soto</v>
          </cell>
          <cell r="K782">
            <v>45566</v>
          </cell>
          <cell r="L782">
            <v>45657</v>
          </cell>
          <cell r="M782" t="str">
            <v>G1</v>
          </cell>
          <cell r="N782" t="str">
            <v>RETAIL</v>
          </cell>
          <cell r="O782" t="str">
            <v>B160</v>
          </cell>
          <cell r="P782" t="str">
            <v>SET-UP / OPERATION</v>
          </cell>
          <cell r="Q782" t="str">
            <v>2024</v>
          </cell>
          <cell r="R782" t="str">
            <v>FBWT2H</v>
          </cell>
          <cell r="S782" t="str">
            <v>PCF Retail SpA</v>
          </cell>
          <cell r="T782" t="str">
            <v/>
          </cell>
        </row>
        <row r="783">
          <cell r="C783" t="str">
            <v>T24C850001183</v>
          </cell>
          <cell r="D783" t="str">
            <v>A24C850001606</v>
          </cell>
          <cell r="E783">
            <v>12800000</v>
          </cell>
          <cell r="F783">
            <v>0</v>
          </cell>
          <cell r="G783" t="str">
            <v>Mobile Phone</v>
          </cell>
          <cell r="H783" t="str">
            <v>[3]PLAN PROPOSAL Q4 2024 SES (CONSTRUCTION + SPACE RENTAL)</v>
          </cell>
          <cell r="I783" t="str">
            <v>Completed</v>
          </cell>
          <cell r="J783" t="str">
            <v>n.soto</v>
          </cell>
          <cell r="K783">
            <v>45566</v>
          </cell>
          <cell r="L783">
            <v>45657</v>
          </cell>
          <cell r="M783" t="str">
            <v>G1</v>
          </cell>
          <cell r="N783" t="str">
            <v>RETAIL</v>
          </cell>
          <cell r="O783" t="str">
            <v>B160</v>
          </cell>
          <cell r="P783" t="str">
            <v>SET-UP / OPERATION</v>
          </cell>
          <cell r="Q783" t="str">
            <v>2024</v>
          </cell>
          <cell r="R783" t="str">
            <v>FBWT2H</v>
          </cell>
          <cell r="S783" t="str">
            <v>PCF Retail SpA</v>
          </cell>
          <cell r="T783" t="str">
            <v/>
          </cell>
        </row>
        <row r="784">
          <cell r="C784" t="str">
            <v>T23C850001110</v>
          </cell>
          <cell r="D784" t="str">
            <v>A23C850001692</v>
          </cell>
          <cell r="E784">
            <v>0</v>
          </cell>
          <cell r="F784">
            <v>1500000</v>
          </cell>
          <cell r="G784" t="str">
            <v>Mobile Phone</v>
          </cell>
          <cell r="H784" t="str">
            <v>[7]B5Q5 RETAIL HHP AUGUST CAMPAIGN</v>
          </cell>
          <cell r="I784" t="str">
            <v>Closed</v>
          </cell>
          <cell r="J784" t="str">
            <v>m.aguila</v>
          </cell>
          <cell r="K784">
            <v>45139</v>
          </cell>
          <cell r="L784">
            <v>45230</v>
          </cell>
          <cell r="M784" t="str">
            <v>G1</v>
          </cell>
          <cell r="N784" t="str">
            <v>DIGITAL MEDIA</v>
          </cell>
          <cell r="O784" t="str">
            <v>A230</v>
          </cell>
          <cell r="P784" t="str">
            <v>SOCIAL ADS</v>
          </cell>
          <cell r="Q784" t="str">
            <v>2024</v>
          </cell>
          <cell r="R784" t="str">
            <v>FZX3GU</v>
          </cell>
          <cell r="S784" t="str">
            <v>Personal Computer Factory SA</v>
          </cell>
          <cell r="T784" t="str">
            <v/>
          </cell>
        </row>
        <row r="785">
          <cell r="C785" t="str">
            <v>T23C850001215</v>
          </cell>
          <cell r="D785" t="str">
            <v>A23C850001827</v>
          </cell>
          <cell r="E785">
            <v>-500000</v>
          </cell>
          <cell r="F785">
            <v>0</v>
          </cell>
          <cell r="G785" t="str">
            <v>Mobile Phone</v>
          </cell>
          <cell r="H785" t="str">
            <v>[7]ALWAYS ON HHP RETAIL.COM CAMPAIGN AUGUST</v>
          </cell>
          <cell r="I785" t="str">
            <v>Closed</v>
          </cell>
          <cell r="J785" t="str">
            <v>sjara.mella</v>
          </cell>
          <cell r="K785">
            <v>45146</v>
          </cell>
          <cell r="L785">
            <v>45230</v>
          </cell>
          <cell r="M785" t="str">
            <v>G1</v>
          </cell>
          <cell r="N785" t="str">
            <v>DIGITAL MEDIA</v>
          </cell>
          <cell r="O785" t="str">
            <v>A250</v>
          </cell>
          <cell r="P785" t="str">
            <v>DISPLAY</v>
          </cell>
          <cell r="Q785" t="str">
            <v>2024</v>
          </cell>
          <cell r="R785" t="str">
            <v>FZX3GU</v>
          </cell>
          <cell r="S785" t="str">
            <v>Personal Computer Factory SA</v>
          </cell>
          <cell r="T785" t="str">
            <v/>
          </cell>
        </row>
        <row r="786">
          <cell r="C786" t="str">
            <v>T23C850001501</v>
          </cell>
          <cell r="D786" t="str">
            <v>A23C850002189</v>
          </cell>
          <cell r="E786">
            <v>0</v>
          </cell>
          <cell r="F786">
            <v>2150000</v>
          </cell>
          <cell r="G786" t="str">
            <v>Mobile Phone</v>
          </cell>
          <cell r="H786" t="str">
            <v>[4]WRBLS/RETAIL/Q4 CAMPAIGNS</v>
          </cell>
          <cell r="I786" t="str">
            <v>Closed</v>
          </cell>
          <cell r="J786" t="str">
            <v>j.albornoz</v>
          </cell>
          <cell r="K786">
            <v>45200</v>
          </cell>
          <cell r="L786">
            <v>45291</v>
          </cell>
          <cell r="M786" t="str">
            <v>G1</v>
          </cell>
          <cell r="N786" t="str">
            <v>DIGITAL MEDIA</v>
          </cell>
          <cell r="O786" t="str">
            <v>A240</v>
          </cell>
          <cell r="P786" t="str">
            <v>SEARCH</v>
          </cell>
          <cell r="Q786" t="str">
            <v>2024</v>
          </cell>
          <cell r="R786" t="str">
            <v>FZX3GU</v>
          </cell>
          <cell r="S786" t="str">
            <v>Personal Computer Factory SA</v>
          </cell>
          <cell r="T786" t="str">
            <v/>
          </cell>
        </row>
        <row r="787">
          <cell r="C787" t="str">
            <v>T23C850001501</v>
          </cell>
          <cell r="D787" t="str">
            <v>A23C850002189</v>
          </cell>
          <cell r="E787">
            <v>0</v>
          </cell>
          <cell r="F787">
            <v>800000</v>
          </cell>
          <cell r="G787" t="str">
            <v>Mobile Phone</v>
          </cell>
          <cell r="H787" t="str">
            <v>[4]WRBLS/RETAIL/Q4 CAMPAIGNS</v>
          </cell>
          <cell r="I787" t="str">
            <v>Closed</v>
          </cell>
          <cell r="J787" t="str">
            <v>j.albornoz</v>
          </cell>
          <cell r="K787">
            <v>45200</v>
          </cell>
          <cell r="L787">
            <v>45291</v>
          </cell>
          <cell r="M787" t="str">
            <v>G1</v>
          </cell>
          <cell r="N787" t="str">
            <v>DIGITAL MEDIA</v>
          </cell>
          <cell r="O787" t="str">
            <v>A230</v>
          </cell>
          <cell r="P787" t="str">
            <v>SOCIAL ADS</v>
          </cell>
          <cell r="Q787" t="str">
            <v>2024</v>
          </cell>
          <cell r="R787" t="str">
            <v>FZX3GU</v>
          </cell>
          <cell r="S787" t="str">
            <v>Personal Computer Factory SA</v>
          </cell>
          <cell r="T787" t="str">
            <v/>
          </cell>
        </row>
        <row r="788">
          <cell r="C788" t="str">
            <v>T23C850001509</v>
          </cell>
          <cell r="D788" t="str">
            <v>A23C850002181</v>
          </cell>
          <cell r="E788">
            <v>0</v>
          </cell>
          <cell r="F788">
            <v>1100000</v>
          </cell>
          <cell r="G788" t="str">
            <v>Computer</v>
          </cell>
          <cell r="H788" t="str">
            <v>[4]NPC/RETAIL/Q4 CAMPAIGNS</v>
          </cell>
          <cell r="I788" t="str">
            <v>Closed</v>
          </cell>
          <cell r="J788" t="str">
            <v>j.albornoz</v>
          </cell>
          <cell r="K788">
            <v>45200</v>
          </cell>
          <cell r="L788">
            <v>45291</v>
          </cell>
          <cell r="M788" t="str">
            <v>C3</v>
          </cell>
          <cell r="N788" t="str">
            <v>DIGITAL MEDIA</v>
          </cell>
          <cell r="O788" t="str">
            <v>A230</v>
          </cell>
          <cell r="P788" t="str">
            <v>SOCIAL ADS</v>
          </cell>
          <cell r="Q788" t="str">
            <v>2024</v>
          </cell>
          <cell r="R788" t="str">
            <v>FZX3GU</v>
          </cell>
          <cell r="S788" t="str">
            <v>Personal Computer Factory SA</v>
          </cell>
          <cell r="T788" t="str">
            <v/>
          </cell>
        </row>
        <row r="789">
          <cell r="C789" t="str">
            <v>T23C850001509</v>
          </cell>
          <cell r="D789" t="str">
            <v>A23C850002181</v>
          </cell>
          <cell r="E789">
            <v>0</v>
          </cell>
          <cell r="F789">
            <v>2513043</v>
          </cell>
          <cell r="G789" t="str">
            <v>Computer</v>
          </cell>
          <cell r="H789" t="str">
            <v>[4]NPC/RETAIL/Q4 CAMPAIGNS</v>
          </cell>
          <cell r="I789" t="str">
            <v>Closed</v>
          </cell>
          <cell r="J789" t="str">
            <v>j.albornoz</v>
          </cell>
          <cell r="K789">
            <v>45200</v>
          </cell>
          <cell r="L789">
            <v>45291</v>
          </cell>
          <cell r="M789" t="str">
            <v>C3</v>
          </cell>
          <cell r="N789" t="str">
            <v>DIGITAL MEDIA</v>
          </cell>
          <cell r="O789" t="str">
            <v>A240</v>
          </cell>
          <cell r="P789" t="str">
            <v>SEARCH</v>
          </cell>
          <cell r="Q789" t="str">
            <v>2024</v>
          </cell>
          <cell r="R789" t="str">
            <v>FZX3GU</v>
          </cell>
          <cell r="S789" t="str">
            <v>Personal Computer Factory SA</v>
          </cell>
          <cell r="T789" t="str">
            <v/>
          </cell>
        </row>
        <row r="790">
          <cell r="C790" t="str">
            <v>T23C850001509</v>
          </cell>
          <cell r="D790" t="str">
            <v>A23C850002181</v>
          </cell>
          <cell r="E790">
            <v>-286957</v>
          </cell>
          <cell r="F790">
            <v>0</v>
          </cell>
          <cell r="G790" t="str">
            <v>Computer</v>
          </cell>
          <cell r="H790" t="str">
            <v>[4]NPC/RETAIL/Q4 CAMPAIGNS</v>
          </cell>
          <cell r="I790" t="str">
            <v>Closed</v>
          </cell>
          <cell r="J790" t="str">
            <v>j.albornoz</v>
          </cell>
          <cell r="K790">
            <v>45200</v>
          </cell>
          <cell r="L790">
            <v>45291</v>
          </cell>
          <cell r="M790" t="str">
            <v>C3</v>
          </cell>
          <cell r="N790" t="str">
            <v>DIGITAL MEDIA</v>
          </cell>
          <cell r="O790" t="str">
            <v>A240</v>
          </cell>
          <cell r="P790" t="str">
            <v>SEARCH</v>
          </cell>
          <cell r="Q790" t="str">
            <v>2024</v>
          </cell>
          <cell r="R790" t="str">
            <v>FZX3GU</v>
          </cell>
          <cell r="S790" t="str">
            <v>Personal Computer Factory SA</v>
          </cell>
          <cell r="T790" t="str">
            <v/>
          </cell>
        </row>
        <row r="791">
          <cell r="C791" t="str">
            <v>T23C850001515</v>
          </cell>
          <cell r="D791" t="str">
            <v>A23C850002177</v>
          </cell>
          <cell r="E791">
            <v>0</v>
          </cell>
          <cell r="F791">
            <v>4000000</v>
          </cell>
          <cell r="G791" t="str">
            <v>Mobile Phone</v>
          </cell>
          <cell r="H791" t="str">
            <v>[4]TAB/RETAIL/Q4 CAMPAIGNS</v>
          </cell>
          <cell r="I791" t="str">
            <v>Closed</v>
          </cell>
          <cell r="J791" t="str">
            <v>j.albornoz</v>
          </cell>
          <cell r="K791">
            <v>45200</v>
          </cell>
          <cell r="L791">
            <v>45291</v>
          </cell>
          <cell r="M791" t="str">
            <v>G1</v>
          </cell>
          <cell r="N791" t="str">
            <v>DIGITAL MEDIA</v>
          </cell>
          <cell r="O791" t="str">
            <v>A240</v>
          </cell>
          <cell r="P791" t="str">
            <v>SEARCH</v>
          </cell>
          <cell r="Q791" t="str">
            <v>2024</v>
          </cell>
          <cell r="R791" t="str">
            <v>FZX3GU</v>
          </cell>
          <cell r="S791" t="str">
            <v>Personal Computer Factory SA</v>
          </cell>
          <cell r="T791" t="str">
            <v/>
          </cell>
        </row>
        <row r="792">
          <cell r="C792" t="str">
            <v>T23C850001515</v>
          </cell>
          <cell r="D792" t="str">
            <v>A23C850002177</v>
          </cell>
          <cell r="E792">
            <v>0</v>
          </cell>
          <cell r="F792">
            <v>1500000</v>
          </cell>
          <cell r="G792" t="str">
            <v>Mobile Phone</v>
          </cell>
          <cell r="H792" t="str">
            <v>[4]TAB/RETAIL/Q4 CAMPAIGNS</v>
          </cell>
          <cell r="I792" t="str">
            <v>Closed</v>
          </cell>
          <cell r="J792" t="str">
            <v>j.albornoz</v>
          </cell>
          <cell r="K792">
            <v>45200</v>
          </cell>
          <cell r="L792">
            <v>45291</v>
          </cell>
          <cell r="M792" t="str">
            <v>G1</v>
          </cell>
          <cell r="N792" t="str">
            <v>DIGITAL MEDIA</v>
          </cell>
          <cell r="O792" t="str">
            <v>A230</v>
          </cell>
          <cell r="P792" t="str">
            <v>SOCIAL ADS</v>
          </cell>
          <cell r="Q792" t="str">
            <v>2024</v>
          </cell>
          <cell r="R792" t="str">
            <v>FZX3GU</v>
          </cell>
          <cell r="S792" t="str">
            <v>Personal Computer Factory SA</v>
          </cell>
          <cell r="T792" t="str">
            <v/>
          </cell>
        </row>
        <row r="793">
          <cell r="C793" t="str">
            <v>T23C850001661</v>
          </cell>
          <cell r="D793" t="str">
            <v>A23C850002352</v>
          </cell>
          <cell r="E793">
            <v>0</v>
          </cell>
          <cell r="F793">
            <v>1000000</v>
          </cell>
          <cell r="G793" t="str">
            <v>Mobile Phone</v>
          </cell>
          <cell r="H793" t="str">
            <v>[5]RETAIL HHP AON NOVEMBER RETAIL A</v>
          </cell>
          <cell r="I793" t="str">
            <v>Closed</v>
          </cell>
          <cell r="J793" t="str">
            <v>sjara.mella</v>
          </cell>
          <cell r="K793">
            <v>45237</v>
          </cell>
          <cell r="L793">
            <v>45291</v>
          </cell>
          <cell r="M793" t="str">
            <v>G1</v>
          </cell>
          <cell r="N793" t="str">
            <v>DIGITAL MEDIA</v>
          </cell>
          <cell r="O793" t="str">
            <v>A250</v>
          </cell>
          <cell r="P793" t="str">
            <v>DISPLAY</v>
          </cell>
          <cell r="Q793" t="str">
            <v>2024</v>
          </cell>
          <cell r="R793" t="str">
            <v>FZX3GU</v>
          </cell>
          <cell r="S793" t="str">
            <v>Personal Computer Factory SA</v>
          </cell>
          <cell r="T793" t="str">
            <v/>
          </cell>
        </row>
        <row r="794">
          <cell r="C794" t="str">
            <v>T23C850001668</v>
          </cell>
          <cell r="D794" t="str">
            <v>A23C850002359</v>
          </cell>
          <cell r="E794">
            <v>0</v>
          </cell>
          <cell r="F794">
            <v>500000</v>
          </cell>
          <cell r="G794" t="str">
            <v>Mobile Phone</v>
          </cell>
          <cell r="H794" t="str">
            <v>[6]RETAIL HHP S23 FE LAUNCH CAMPAIGN</v>
          </cell>
          <cell r="I794" t="str">
            <v>Closed</v>
          </cell>
          <cell r="J794" t="str">
            <v>sjara.mella</v>
          </cell>
          <cell r="K794">
            <v>45230</v>
          </cell>
          <cell r="L794">
            <v>45291</v>
          </cell>
          <cell r="M794" t="str">
            <v>G1</v>
          </cell>
          <cell r="N794" t="str">
            <v>DIGITAL MEDIA</v>
          </cell>
          <cell r="O794" t="str">
            <v>A250</v>
          </cell>
          <cell r="P794" t="str">
            <v>DISPLAY</v>
          </cell>
          <cell r="Q794" t="str">
            <v>2024</v>
          </cell>
          <cell r="R794" t="str">
            <v>FZX3GU</v>
          </cell>
          <cell r="S794" t="str">
            <v>Personal Computer Factory SA</v>
          </cell>
          <cell r="T794" t="str">
            <v/>
          </cell>
        </row>
        <row r="795">
          <cell r="C795" t="str">
            <v>T23C850001668</v>
          </cell>
          <cell r="D795" t="str">
            <v>A23C850002359</v>
          </cell>
          <cell r="E795">
            <v>0</v>
          </cell>
          <cell r="F795">
            <v>1000000</v>
          </cell>
          <cell r="G795" t="str">
            <v>Mobile Phone</v>
          </cell>
          <cell r="H795" t="str">
            <v>[6]RETAIL HHP S23 FE LAUNCH CAMPAIGN</v>
          </cell>
          <cell r="I795" t="str">
            <v>Closed</v>
          </cell>
          <cell r="J795" t="str">
            <v>sjara.mella</v>
          </cell>
          <cell r="K795">
            <v>45230</v>
          </cell>
          <cell r="L795">
            <v>45291</v>
          </cell>
          <cell r="M795" t="str">
            <v>G1</v>
          </cell>
          <cell r="N795" t="str">
            <v>DIGITAL MEDIA</v>
          </cell>
          <cell r="O795" t="str">
            <v>A240</v>
          </cell>
          <cell r="P795" t="str">
            <v>SEARCH</v>
          </cell>
          <cell r="Q795" t="str">
            <v>2024</v>
          </cell>
          <cell r="R795" t="str">
            <v>FZX3GU</v>
          </cell>
          <cell r="S795" t="str">
            <v>Personal Computer Factory SA</v>
          </cell>
          <cell r="T795" t="str">
            <v/>
          </cell>
        </row>
        <row r="796">
          <cell r="C796" t="str">
            <v>T24C850000101</v>
          </cell>
          <cell r="D796" t="str">
            <v>A24C850000150</v>
          </cell>
          <cell r="E796">
            <v>1000000</v>
          </cell>
          <cell r="F796">
            <v>0</v>
          </cell>
          <cell r="G796" t="str">
            <v>Mobile Phone</v>
          </cell>
          <cell r="H796" t="str">
            <v>[8]HHP EUREKA CAMPAIGN RETAILERS JANUARY</v>
          </cell>
          <cell r="I796" t="str">
            <v>Closed</v>
          </cell>
          <cell r="J796" t="str">
            <v>fernandez.r</v>
          </cell>
          <cell r="K796">
            <v>45303</v>
          </cell>
          <cell r="L796">
            <v>45382</v>
          </cell>
          <cell r="M796" t="str">
            <v>G1</v>
          </cell>
          <cell r="N796" t="str">
            <v>DIGITAL MEDIA</v>
          </cell>
          <cell r="O796" t="str">
            <v>A250</v>
          </cell>
          <cell r="P796" t="str">
            <v>DISPLAY</v>
          </cell>
          <cell r="Q796" t="str">
            <v>2024</v>
          </cell>
          <cell r="R796" t="str">
            <v>FZX3GU</v>
          </cell>
          <cell r="S796" t="str">
            <v>Personal Computer Factory SA</v>
          </cell>
          <cell r="T796" t="str">
            <v/>
          </cell>
        </row>
        <row r="797">
          <cell r="C797" t="str">
            <v>T24C850000101</v>
          </cell>
          <cell r="D797" t="str">
            <v>A24C850000150</v>
          </cell>
          <cell r="E797">
            <v>1000000</v>
          </cell>
          <cell r="F797">
            <v>0</v>
          </cell>
          <cell r="G797" t="str">
            <v>Mobile Phone</v>
          </cell>
          <cell r="H797" t="str">
            <v>[8]HHP EUREKA CAMPAIGN RETAILERS JANUARY</v>
          </cell>
          <cell r="I797" t="str">
            <v>Closed</v>
          </cell>
          <cell r="J797" t="str">
            <v>fernandez.r</v>
          </cell>
          <cell r="K797">
            <v>45303</v>
          </cell>
          <cell r="L797">
            <v>45382</v>
          </cell>
          <cell r="M797" t="str">
            <v>G1</v>
          </cell>
          <cell r="N797" t="str">
            <v>DIGITAL MEDIA</v>
          </cell>
          <cell r="O797" t="str">
            <v>A250</v>
          </cell>
          <cell r="P797" t="str">
            <v>DISPLAY</v>
          </cell>
          <cell r="Q797" t="str">
            <v>2024</v>
          </cell>
          <cell r="R797" t="str">
            <v>FZX3GU</v>
          </cell>
          <cell r="S797" t="str">
            <v>Personal Computer Factory SA</v>
          </cell>
          <cell r="T797" t="str">
            <v/>
          </cell>
        </row>
        <row r="798">
          <cell r="C798" t="str">
            <v>T24C850000101</v>
          </cell>
          <cell r="D798" t="str">
            <v>A24C850000150</v>
          </cell>
          <cell r="E798">
            <v>0</v>
          </cell>
          <cell r="F798">
            <v>2000000</v>
          </cell>
          <cell r="G798" t="str">
            <v>Mobile Phone</v>
          </cell>
          <cell r="H798" t="str">
            <v>[8]HHP EUREKA CAMPAIGN RETAILERS JANUARY</v>
          </cell>
          <cell r="I798" t="str">
            <v>Closed</v>
          </cell>
          <cell r="J798" t="str">
            <v>fernandez.r</v>
          </cell>
          <cell r="K798">
            <v>45303</v>
          </cell>
          <cell r="L798">
            <v>45382</v>
          </cell>
          <cell r="M798" t="str">
            <v>G1</v>
          </cell>
          <cell r="N798" t="str">
            <v>DIGITAL MEDIA</v>
          </cell>
          <cell r="O798" t="str">
            <v>A250</v>
          </cell>
          <cell r="P798" t="str">
            <v>DISPLAY</v>
          </cell>
          <cell r="Q798" t="str">
            <v>2024</v>
          </cell>
          <cell r="R798" t="str">
            <v>FZX3GU</v>
          </cell>
          <cell r="S798" t="str">
            <v>Personal Computer Factory SA</v>
          </cell>
          <cell r="T798" t="str">
            <v/>
          </cell>
        </row>
        <row r="799">
          <cell r="C799" t="str">
            <v>T24C850000101</v>
          </cell>
          <cell r="D799" t="str">
            <v>A24C850000150</v>
          </cell>
          <cell r="E799">
            <v>1500000</v>
          </cell>
          <cell r="F799">
            <v>0</v>
          </cell>
          <cell r="G799" t="str">
            <v>Mobile Phone</v>
          </cell>
          <cell r="H799" t="str">
            <v>[8]HHP EUREKA CAMPAIGN RETAILERS JANUARY</v>
          </cell>
          <cell r="I799" t="str">
            <v>Closed</v>
          </cell>
          <cell r="J799" t="str">
            <v>fernandez.r</v>
          </cell>
          <cell r="K799">
            <v>45303</v>
          </cell>
          <cell r="L799">
            <v>45382</v>
          </cell>
          <cell r="M799" t="str">
            <v>G1</v>
          </cell>
          <cell r="N799" t="str">
            <v>DIGITAL MEDIA</v>
          </cell>
          <cell r="O799" t="str">
            <v>A230</v>
          </cell>
          <cell r="P799" t="str">
            <v>SOCIAL ADS</v>
          </cell>
          <cell r="Q799" t="str">
            <v>2024</v>
          </cell>
          <cell r="R799" t="str">
            <v>FZX3GU</v>
          </cell>
          <cell r="S799" t="str">
            <v>Personal Computer Factory SA</v>
          </cell>
          <cell r="T799" t="str">
            <v/>
          </cell>
        </row>
        <row r="800">
          <cell r="C800" t="str">
            <v>T24C850000101</v>
          </cell>
          <cell r="D800" t="str">
            <v>A24C850000150</v>
          </cell>
          <cell r="E800">
            <v>1500000</v>
          </cell>
          <cell r="F800">
            <v>0</v>
          </cell>
          <cell r="G800" t="str">
            <v>Mobile Phone</v>
          </cell>
          <cell r="H800" t="str">
            <v>[8]HHP EUREKA CAMPAIGN RETAILERS JANUARY</v>
          </cell>
          <cell r="I800" t="str">
            <v>Closed</v>
          </cell>
          <cell r="J800" t="str">
            <v>fernandez.r</v>
          </cell>
          <cell r="K800">
            <v>45303</v>
          </cell>
          <cell r="L800">
            <v>45382</v>
          </cell>
          <cell r="M800" t="str">
            <v>G1</v>
          </cell>
          <cell r="N800" t="str">
            <v>DIGITAL MEDIA</v>
          </cell>
          <cell r="O800" t="str">
            <v>A230</v>
          </cell>
          <cell r="P800" t="str">
            <v>SOCIAL ADS</v>
          </cell>
          <cell r="Q800" t="str">
            <v>2024</v>
          </cell>
          <cell r="R800" t="str">
            <v>FZX3GU</v>
          </cell>
          <cell r="S800" t="str">
            <v>Personal Computer Factory SA</v>
          </cell>
          <cell r="T800" t="str">
            <v/>
          </cell>
        </row>
        <row r="801">
          <cell r="C801" t="str">
            <v>T24C850000101</v>
          </cell>
          <cell r="D801" t="str">
            <v>A24C850000150</v>
          </cell>
          <cell r="E801">
            <v>0</v>
          </cell>
          <cell r="F801">
            <v>3000000</v>
          </cell>
          <cell r="G801" t="str">
            <v>Mobile Phone</v>
          </cell>
          <cell r="H801" t="str">
            <v>[8]HHP EUREKA CAMPAIGN RETAILERS JANUARY</v>
          </cell>
          <cell r="I801" t="str">
            <v>Closed</v>
          </cell>
          <cell r="J801" t="str">
            <v>fernandez.r</v>
          </cell>
          <cell r="K801">
            <v>45303</v>
          </cell>
          <cell r="L801">
            <v>45382</v>
          </cell>
          <cell r="M801" t="str">
            <v>G1</v>
          </cell>
          <cell r="N801" t="str">
            <v>DIGITAL MEDIA</v>
          </cell>
          <cell r="O801" t="str">
            <v>A230</v>
          </cell>
          <cell r="P801" t="str">
            <v>SOCIAL ADS</v>
          </cell>
          <cell r="Q801" t="str">
            <v>2024</v>
          </cell>
          <cell r="R801" t="str">
            <v>FZX3GU</v>
          </cell>
          <cell r="S801" t="str">
            <v>Personal Computer Factory SA</v>
          </cell>
          <cell r="T801" t="str">
            <v/>
          </cell>
        </row>
        <row r="802">
          <cell r="C802" t="str">
            <v>T24C850000101</v>
          </cell>
          <cell r="D802" t="str">
            <v>A24C850000150</v>
          </cell>
          <cell r="E802">
            <v>1500000</v>
          </cell>
          <cell r="F802">
            <v>0</v>
          </cell>
          <cell r="G802" t="str">
            <v>Mobile Phone</v>
          </cell>
          <cell r="H802" t="str">
            <v>[8]HHP EUREKA CAMPAIGN RETAILERS JANUARY</v>
          </cell>
          <cell r="I802" t="str">
            <v>Closed</v>
          </cell>
          <cell r="J802" t="str">
            <v>fernandez.r</v>
          </cell>
          <cell r="K802">
            <v>45303</v>
          </cell>
          <cell r="L802">
            <v>45382</v>
          </cell>
          <cell r="M802" t="str">
            <v>G1</v>
          </cell>
          <cell r="N802" t="str">
            <v>DIGITAL MEDIA</v>
          </cell>
          <cell r="O802" t="str">
            <v>A240</v>
          </cell>
          <cell r="P802" t="str">
            <v>SEARCH</v>
          </cell>
          <cell r="Q802" t="str">
            <v>2024</v>
          </cell>
          <cell r="R802" t="str">
            <v>FZX3GU</v>
          </cell>
          <cell r="S802" t="str">
            <v>Personal Computer Factory SA</v>
          </cell>
          <cell r="T802" t="str">
            <v/>
          </cell>
        </row>
        <row r="803">
          <cell r="C803" t="str">
            <v>T24C850000101</v>
          </cell>
          <cell r="D803" t="str">
            <v>A24C850000150</v>
          </cell>
          <cell r="E803">
            <v>1500000</v>
          </cell>
          <cell r="F803">
            <v>0</v>
          </cell>
          <cell r="G803" t="str">
            <v>Mobile Phone</v>
          </cell>
          <cell r="H803" t="str">
            <v>[8]HHP EUREKA CAMPAIGN RETAILERS JANUARY</v>
          </cell>
          <cell r="I803" t="str">
            <v>Closed</v>
          </cell>
          <cell r="J803" t="str">
            <v>fernandez.r</v>
          </cell>
          <cell r="K803">
            <v>45303</v>
          </cell>
          <cell r="L803">
            <v>45382</v>
          </cell>
          <cell r="M803" t="str">
            <v>G1</v>
          </cell>
          <cell r="N803" t="str">
            <v>DIGITAL MEDIA</v>
          </cell>
          <cell r="O803" t="str">
            <v>A240</v>
          </cell>
          <cell r="P803" t="str">
            <v>SEARCH</v>
          </cell>
          <cell r="Q803" t="str">
            <v>2024</v>
          </cell>
          <cell r="R803" t="str">
            <v>FZX3GU</v>
          </cell>
          <cell r="S803" t="str">
            <v>Personal Computer Factory SA</v>
          </cell>
          <cell r="T803" t="str">
            <v/>
          </cell>
        </row>
        <row r="804">
          <cell r="C804" t="str">
            <v>T24C850000101</v>
          </cell>
          <cell r="D804" t="str">
            <v>A24C850000150</v>
          </cell>
          <cell r="E804">
            <v>0</v>
          </cell>
          <cell r="F804">
            <v>3000000</v>
          </cell>
          <cell r="G804" t="str">
            <v>Mobile Phone</v>
          </cell>
          <cell r="H804" t="str">
            <v>[8]HHP EUREKA CAMPAIGN RETAILERS JANUARY</v>
          </cell>
          <cell r="I804" t="str">
            <v>Closed</v>
          </cell>
          <cell r="J804" t="str">
            <v>fernandez.r</v>
          </cell>
          <cell r="K804">
            <v>45303</v>
          </cell>
          <cell r="L804">
            <v>45382</v>
          </cell>
          <cell r="M804" t="str">
            <v>G1</v>
          </cell>
          <cell r="N804" t="str">
            <v>DIGITAL MEDIA</v>
          </cell>
          <cell r="O804" t="str">
            <v>A240</v>
          </cell>
          <cell r="P804" t="str">
            <v>SEARCH</v>
          </cell>
          <cell r="Q804" t="str">
            <v>2024</v>
          </cell>
          <cell r="R804" t="str">
            <v>FZX3GU</v>
          </cell>
          <cell r="S804" t="str">
            <v>Personal Computer Factory SA</v>
          </cell>
          <cell r="T804" t="str">
            <v/>
          </cell>
        </row>
        <row r="805">
          <cell r="C805" t="str">
            <v>T24C850000187</v>
          </cell>
          <cell r="D805" t="str">
            <v>A24C850000315</v>
          </cell>
          <cell r="E805">
            <v>10514200</v>
          </cell>
          <cell r="F805">
            <v>0</v>
          </cell>
          <cell r="G805" t="str">
            <v>Mobile Phone</v>
          </cell>
          <cell r="H805" t="str">
            <v>[1]PUMI APPROVED/HHP/V.GONZALEZG/PURCHASE RDU EUREKA (PCF RETAIL-MOVISTAR)</v>
          </cell>
          <cell r="I805" t="str">
            <v>Closed</v>
          </cell>
          <cell r="J805" t="str">
            <v>y.malave</v>
          </cell>
          <cell r="K805">
            <v>45315</v>
          </cell>
          <cell r="L805">
            <v>45382</v>
          </cell>
          <cell r="M805" t="str">
            <v>G1</v>
          </cell>
          <cell r="N805" t="str">
            <v>RETAIL</v>
          </cell>
          <cell r="O805" t="str">
            <v>B120</v>
          </cell>
          <cell r="P805" t="str">
            <v>SHELF MERCHANDISING</v>
          </cell>
          <cell r="Q805" t="str">
            <v>2024</v>
          </cell>
          <cell r="R805" t="str">
            <v>FZX3GU</v>
          </cell>
          <cell r="S805" t="str">
            <v>Personal Computer Factory SA</v>
          </cell>
          <cell r="T805" t="str">
            <v/>
          </cell>
        </row>
        <row r="806">
          <cell r="C806" t="str">
            <v>T24C850000187</v>
          </cell>
          <cell r="D806" t="str">
            <v>A24C850000315</v>
          </cell>
          <cell r="E806">
            <v>-10514200</v>
          </cell>
          <cell r="F806">
            <v>0</v>
          </cell>
          <cell r="G806" t="str">
            <v>Mobile Phone</v>
          </cell>
          <cell r="H806" t="str">
            <v>[1]PUMI APPROVED/HHP/V.GONZALEZG/PURCHASE RDU EUREKA (PCF RETAIL-MOVISTAR)</v>
          </cell>
          <cell r="I806" t="str">
            <v>Closed</v>
          </cell>
          <cell r="J806" t="str">
            <v>y.malave</v>
          </cell>
          <cell r="K806">
            <v>45315</v>
          </cell>
          <cell r="L806">
            <v>45382</v>
          </cell>
          <cell r="M806" t="str">
            <v>G1</v>
          </cell>
          <cell r="N806" t="str">
            <v>RETAIL</v>
          </cell>
          <cell r="O806" t="str">
            <v>B120</v>
          </cell>
          <cell r="P806" t="str">
            <v>SHELF MERCHANDISING</v>
          </cell>
          <cell r="Q806" t="str">
            <v>2024</v>
          </cell>
          <cell r="R806" t="str">
            <v>FZX3GU</v>
          </cell>
          <cell r="S806" t="str">
            <v>Personal Computer Factory SA</v>
          </cell>
          <cell r="T806" t="str">
            <v/>
          </cell>
        </row>
        <row r="807">
          <cell r="C807" t="str">
            <v>T24C850000262</v>
          </cell>
          <cell r="D807" t="str">
            <v>A24C850000381</v>
          </cell>
          <cell r="E807">
            <v>1000000</v>
          </cell>
          <cell r="F807">
            <v>0</v>
          </cell>
          <cell r="G807" t="str">
            <v>Computer</v>
          </cell>
          <cell r="H807" t="str">
            <v>[1]NPC AON CAMPAIGN RETAILERS FEBRUARY &amp; MARCH</v>
          </cell>
          <cell r="I807" t="str">
            <v>Completed</v>
          </cell>
          <cell r="J807" t="str">
            <v>fernandez.r</v>
          </cell>
          <cell r="K807">
            <v>45337</v>
          </cell>
          <cell r="L807">
            <v>45443</v>
          </cell>
          <cell r="M807" t="str">
            <v>C3</v>
          </cell>
          <cell r="N807" t="str">
            <v>DIGITAL MEDIA</v>
          </cell>
          <cell r="O807" t="str">
            <v>A240</v>
          </cell>
          <cell r="P807" t="str">
            <v>SEARCH</v>
          </cell>
          <cell r="Q807" t="str">
            <v>2024</v>
          </cell>
          <cell r="R807" t="str">
            <v>FZX3GU</v>
          </cell>
          <cell r="S807" t="str">
            <v>Personal Computer Factory SA</v>
          </cell>
          <cell r="T807" t="str">
            <v/>
          </cell>
        </row>
        <row r="808">
          <cell r="C808" t="str">
            <v>T24C850000262</v>
          </cell>
          <cell r="D808" t="str">
            <v>A24C850000381</v>
          </cell>
          <cell r="E808">
            <v>1000000</v>
          </cell>
          <cell r="F808">
            <v>0</v>
          </cell>
          <cell r="G808" t="str">
            <v>Computer</v>
          </cell>
          <cell r="H808" t="str">
            <v>[1]NPC AON CAMPAIGN RETAILERS FEBRUARY &amp; MARCH</v>
          </cell>
          <cell r="I808" t="str">
            <v>Completed</v>
          </cell>
          <cell r="J808" t="str">
            <v>fernandez.r</v>
          </cell>
          <cell r="K808">
            <v>45337</v>
          </cell>
          <cell r="L808">
            <v>45443</v>
          </cell>
          <cell r="M808" t="str">
            <v>C3</v>
          </cell>
          <cell r="N808" t="str">
            <v>DIGITAL MEDIA</v>
          </cell>
          <cell r="O808" t="str">
            <v>A240</v>
          </cell>
          <cell r="P808" t="str">
            <v>SEARCH</v>
          </cell>
          <cell r="Q808" t="str">
            <v>2024</v>
          </cell>
          <cell r="R808" t="str">
            <v>FZX3GU</v>
          </cell>
          <cell r="S808" t="str">
            <v>Personal Computer Factory SA</v>
          </cell>
          <cell r="T808" t="str">
            <v/>
          </cell>
        </row>
        <row r="809">
          <cell r="C809" t="str">
            <v>T24C850000270</v>
          </cell>
          <cell r="D809" t="str">
            <v>A24C850000380</v>
          </cell>
          <cell r="E809">
            <v>2000000</v>
          </cell>
          <cell r="F809">
            <v>0</v>
          </cell>
          <cell r="G809" t="str">
            <v>Mobile Phone</v>
          </cell>
          <cell r="H809" t="str">
            <v>[1]TAB AON CAMPAIGN RETAILERS FEBRUARY &amp; MARCH</v>
          </cell>
          <cell r="I809" t="str">
            <v>Completed</v>
          </cell>
          <cell r="J809" t="str">
            <v>fernandez.r</v>
          </cell>
          <cell r="K809">
            <v>45337</v>
          </cell>
          <cell r="L809">
            <v>45443</v>
          </cell>
          <cell r="M809" t="str">
            <v>G1</v>
          </cell>
          <cell r="N809" t="str">
            <v>DIGITAL MEDIA</v>
          </cell>
          <cell r="O809" t="str">
            <v>A240</v>
          </cell>
          <cell r="P809" t="str">
            <v>SEARCH</v>
          </cell>
          <cell r="Q809" t="str">
            <v>2024</v>
          </cell>
          <cell r="R809" t="str">
            <v>FZX3GU</v>
          </cell>
          <cell r="S809" t="str">
            <v>Personal Computer Factory SA</v>
          </cell>
          <cell r="T809" t="str">
            <v/>
          </cell>
        </row>
        <row r="810">
          <cell r="C810" t="str">
            <v>T24C850000270</v>
          </cell>
          <cell r="D810" t="str">
            <v>A24C850000380</v>
          </cell>
          <cell r="E810">
            <v>1500000</v>
          </cell>
          <cell r="F810">
            <v>0</v>
          </cell>
          <cell r="G810" t="str">
            <v>Mobile Phone</v>
          </cell>
          <cell r="H810" t="str">
            <v>[1]TAB AON CAMPAIGN RETAILERS FEBRUARY &amp; MARCH</v>
          </cell>
          <cell r="I810" t="str">
            <v>Completed</v>
          </cell>
          <cell r="J810" t="str">
            <v>fernandez.r</v>
          </cell>
          <cell r="K810">
            <v>45337</v>
          </cell>
          <cell r="L810">
            <v>45443</v>
          </cell>
          <cell r="M810" t="str">
            <v>G1</v>
          </cell>
          <cell r="N810" t="str">
            <v>DIGITAL MEDIA</v>
          </cell>
          <cell r="O810" t="str">
            <v>A240</v>
          </cell>
          <cell r="P810" t="str">
            <v>SEARCH</v>
          </cell>
          <cell r="Q810" t="str">
            <v>2024</v>
          </cell>
          <cell r="R810" t="str">
            <v>FZX3GU</v>
          </cell>
          <cell r="S810" t="str">
            <v>Personal Computer Factory SA</v>
          </cell>
          <cell r="T810" t="str">
            <v/>
          </cell>
        </row>
        <row r="811">
          <cell r="C811" t="str">
            <v>T24C850000270</v>
          </cell>
          <cell r="D811" t="str">
            <v>A24C850000380</v>
          </cell>
          <cell r="E811">
            <v>0</v>
          </cell>
          <cell r="F811">
            <v>1247783</v>
          </cell>
          <cell r="G811" t="str">
            <v>Mobile Phone</v>
          </cell>
          <cell r="H811" t="str">
            <v>[1]TAB AON CAMPAIGN RETAILERS FEBRUARY &amp; MARCH</v>
          </cell>
          <cell r="I811" t="str">
            <v>Completed</v>
          </cell>
          <cell r="J811" t="str">
            <v>fernandez.r</v>
          </cell>
          <cell r="K811">
            <v>45337</v>
          </cell>
          <cell r="L811">
            <v>45443</v>
          </cell>
          <cell r="M811" t="str">
            <v>G1</v>
          </cell>
          <cell r="N811" t="str">
            <v>DIGITAL MEDIA</v>
          </cell>
          <cell r="O811" t="str">
            <v>A240</v>
          </cell>
          <cell r="P811" t="str">
            <v>SEARCH</v>
          </cell>
          <cell r="Q811" t="str">
            <v>2024</v>
          </cell>
          <cell r="R811" t="str">
            <v>FZX3GU</v>
          </cell>
          <cell r="S811" t="str">
            <v>Personal Computer Factory SA</v>
          </cell>
          <cell r="T811" t="str">
            <v/>
          </cell>
        </row>
        <row r="812">
          <cell r="C812" t="str">
            <v>T24C850000513</v>
          </cell>
          <cell r="D812" t="str">
            <v>A24C850000712</v>
          </cell>
          <cell r="E812">
            <v>2000000</v>
          </cell>
          <cell r="F812">
            <v>0</v>
          </cell>
          <cell r="G812" t="str">
            <v>Mobile Phone</v>
          </cell>
          <cell r="H812" t="str">
            <v>[5]A SERIES CAMPAIGN - RETAILERS - APRIL</v>
          </cell>
          <cell r="I812" t="str">
            <v>Completed</v>
          </cell>
          <cell r="J812" t="str">
            <v>fernandez.r</v>
          </cell>
          <cell r="K812">
            <v>45385</v>
          </cell>
          <cell r="L812">
            <v>45504</v>
          </cell>
          <cell r="M812" t="str">
            <v>G1</v>
          </cell>
          <cell r="N812" t="str">
            <v>DIGITAL MEDIA</v>
          </cell>
          <cell r="O812" t="str">
            <v>A250</v>
          </cell>
          <cell r="P812" t="str">
            <v>DISPLAY</v>
          </cell>
          <cell r="Q812" t="str">
            <v>2024</v>
          </cell>
          <cell r="R812" t="str">
            <v>FZX3GU</v>
          </cell>
          <cell r="S812" t="str">
            <v>Personal Computer Factory SA</v>
          </cell>
          <cell r="T812" t="str">
            <v/>
          </cell>
        </row>
        <row r="813">
          <cell r="C813" t="str">
            <v>T24C850000513</v>
          </cell>
          <cell r="D813" t="str">
            <v>A24C850000712</v>
          </cell>
          <cell r="E813">
            <v>0</v>
          </cell>
          <cell r="F813">
            <v>2000000</v>
          </cell>
          <cell r="G813" t="str">
            <v>Mobile Phone</v>
          </cell>
          <cell r="H813" t="str">
            <v>[5]A SERIES CAMPAIGN - RETAILERS - APRIL</v>
          </cell>
          <cell r="I813" t="str">
            <v>Completed</v>
          </cell>
          <cell r="J813" t="str">
            <v>fernandez.r</v>
          </cell>
          <cell r="K813">
            <v>45385</v>
          </cell>
          <cell r="L813">
            <v>45504</v>
          </cell>
          <cell r="M813" t="str">
            <v>G1</v>
          </cell>
          <cell r="N813" t="str">
            <v>DIGITAL MEDIA</v>
          </cell>
          <cell r="O813" t="str">
            <v>A250</v>
          </cell>
          <cell r="P813" t="str">
            <v>DISPLAY</v>
          </cell>
          <cell r="Q813" t="str">
            <v>2024</v>
          </cell>
          <cell r="R813" t="str">
            <v>FZX3GU</v>
          </cell>
          <cell r="S813" t="str">
            <v>Personal Computer Factory SA</v>
          </cell>
          <cell r="T813" t="str">
            <v/>
          </cell>
        </row>
        <row r="814">
          <cell r="C814" t="str">
            <v>T24C850000513</v>
          </cell>
          <cell r="D814" t="str">
            <v>A24C850000712</v>
          </cell>
          <cell r="E814">
            <v>3000000</v>
          </cell>
          <cell r="F814">
            <v>0</v>
          </cell>
          <cell r="G814" t="str">
            <v>Mobile Phone</v>
          </cell>
          <cell r="H814" t="str">
            <v>[5]A SERIES CAMPAIGN - RETAILERS - APRIL</v>
          </cell>
          <cell r="I814" t="str">
            <v>Completed</v>
          </cell>
          <cell r="J814" t="str">
            <v>fernandez.r</v>
          </cell>
          <cell r="K814">
            <v>45385</v>
          </cell>
          <cell r="L814">
            <v>45504</v>
          </cell>
          <cell r="M814" t="str">
            <v>G1</v>
          </cell>
          <cell r="N814" t="str">
            <v>DIGITAL MEDIA</v>
          </cell>
          <cell r="O814" t="str">
            <v>A240</v>
          </cell>
          <cell r="P814" t="str">
            <v>SEARCH</v>
          </cell>
          <cell r="Q814" t="str">
            <v>2024</v>
          </cell>
          <cell r="R814" t="str">
            <v>FZX3GU</v>
          </cell>
          <cell r="S814" t="str">
            <v>Personal Computer Factory SA</v>
          </cell>
          <cell r="T814" t="str">
            <v/>
          </cell>
        </row>
        <row r="815">
          <cell r="C815" t="str">
            <v>T24C850000513</v>
          </cell>
          <cell r="D815" t="str">
            <v>A24C850000712</v>
          </cell>
          <cell r="E815">
            <v>0</v>
          </cell>
          <cell r="F815">
            <v>3000000</v>
          </cell>
          <cell r="G815" t="str">
            <v>Mobile Phone</v>
          </cell>
          <cell r="H815" t="str">
            <v>[5]A SERIES CAMPAIGN - RETAILERS - APRIL</v>
          </cell>
          <cell r="I815" t="str">
            <v>Completed</v>
          </cell>
          <cell r="J815" t="str">
            <v>fernandez.r</v>
          </cell>
          <cell r="K815">
            <v>45385</v>
          </cell>
          <cell r="L815">
            <v>45504</v>
          </cell>
          <cell r="M815" t="str">
            <v>G1</v>
          </cell>
          <cell r="N815" t="str">
            <v>DIGITAL MEDIA</v>
          </cell>
          <cell r="O815" t="str">
            <v>A240</v>
          </cell>
          <cell r="P815" t="str">
            <v>SEARCH</v>
          </cell>
          <cell r="Q815" t="str">
            <v>2024</v>
          </cell>
          <cell r="R815" t="str">
            <v>FZX3GU</v>
          </cell>
          <cell r="S815" t="str">
            <v>Personal Computer Factory SA</v>
          </cell>
          <cell r="T815" t="str">
            <v/>
          </cell>
        </row>
        <row r="816">
          <cell r="C816" t="str">
            <v>T24C850000613</v>
          </cell>
          <cell r="D816" t="str">
            <v>A24C850000882</v>
          </cell>
          <cell r="E816">
            <v>1000000</v>
          </cell>
          <cell r="F816">
            <v>0</v>
          </cell>
          <cell r="G816" t="str">
            <v>Mobile Phone</v>
          </cell>
          <cell r="H816" t="str">
            <v>[4]TAB AON CAMPAIGN RETAILERS JUNE</v>
          </cell>
          <cell r="I816" t="str">
            <v>Completed</v>
          </cell>
          <cell r="J816" t="str">
            <v>fernandez.r</v>
          </cell>
          <cell r="K816">
            <v>45444</v>
          </cell>
          <cell r="L816">
            <v>45535</v>
          </cell>
          <cell r="M816" t="str">
            <v>G1</v>
          </cell>
          <cell r="N816" t="str">
            <v>DIGITAL MEDIA</v>
          </cell>
          <cell r="O816" t="str">
            <v>A250</v>
          </cell>
          <cell r="P816" t="str">
            <v>DISPLAY</v>
          </cell>
          <cell r="Q816" t="str">
            <v>2024</v>
          </cell>
          <cell r="R816" t="str">
            <v>FZX3GU</v>
          </cell>
          <cell r="S816" t="str">
            <v>Personal Computer Factory SA</v>
          </cell>
          <cell r="T816" t="str">
            <v/>
          </cell>
        </row>
        <row r="817">
          <cell r="C817" t="str">
            <v>T24C850000613</v>
          </cell>
          <cell r="D817" t="str">
            <v>A24C850000882</v>
          </cell>
          <cell r="E817">
            <v>1000000</v>
          </cell>
          <cell r="F817">
            <v>0</v>
          </cell>
          <cell r="G817" t="str">
            <v>Mobile Phone</v>
          </cell>
          <cell r="H817" t="str">
            <v>[4]TAB AON CAMPAIGN RETAILERS JUNE</v>
          </cell>
          <cell r="I817" t="str">
            <v>Completed</v>
          </cell>
          <cell r="J817" t="str">
            <v>fernandez.r</v>
          </cell>
          <cell r="K817">
            <v>45444</v>
          </cell>
          <cell r="L817">
            <v>45535</v>
          </cell>
          <cell r="M817" t="str">
            <v>G1</v>
          </cell>
          <cell r="N817" t="str">
            <v>DIGITAL MEDIA</v>
          </cell>
          <cell r="O817" t="str">
            <v>A240</v>
          </cell>
          <cell r="P817" t="str">
            <v>SEARCH</v>
          </cell>
          <cell r="Q817" t="str">
            <v>2024</v>
          </cell>
          <cell r="R817" t="str">
            <v>FZX3GU</v>
          </cell>
          <cell r="S817" t="str">
            <v>Personal Computer Factory SA</v>
          </cell>
          <cell r="T817" t="str">
            <v/>
          </cell>
        </row>
        <row r="818">
          <cell r="C818" t="str">
            <v>T24C850000628</v>
          </cell>
          <cell r="D818" t="str">
            <v>A24C850000877</v>
          </cell>
          <cell r="E818">
            <v>1000000</v>
          </cell>
          <cell r="F818">
            <v>0</v>
          </cell>
          <cell r="G818" t="str">
            <v>Computer</v>
          </cell>
          <cell r="H818" t="str">
            <v>[1]NPC AON CAMPAIGN RETAILERS MAY</v>
          </cell>
          <cell r="I818" t="str">
            <v>Completed</v>
          </cell>
          <cell r="J818" t="str">
            <v>fernandez.r</v>
          </cell>
          <cell r="K818">
            <v>45427</v>
          </cell>
          <cell r="L818">
            <v>45535</v>
          </cell>
          <cell r="M818" t="str">
            <v>C3</v>
          </cell>
          <cell r="N818" t="str">
            <v>DIGITAL MEDIA</v>
          </cell>
          <cell r="O818" t="str">
            <v>A250</v>
          </cell>
          <cell r="P818" t="str">
            <v>DISPLAY</v>
          </cell>
          <cell r="Q818" t="str">
            <v>2024</v>
          </cell>
          <cell r="R818" t="str">
            <v>FZX3GU</v>
          </cell>
          <cell r="S818" t="str">
            <v>Personal Computer Factory SA</v>
          </cell>
          <cell r="T818" t="str">
            <v/>
          </cell>
        </row>
        <row r="819">
          <cell r="C819" t="str">
            <v>T24C850000628</v>
          </cell>
          <cell r="D819" t="str">
            <v>A24C850000877</v>
          </cell>
          <cell r="E819">
            <v>2000000</v>
          </cell>
          <cell r="F819">
            <v>0</v>
          </cell>
          <cell r="G819" t="str">
            <v>Computer</v>
          </cell>
          <cell r="H819" t="str">
            <v>[1]NPC AON CAMPAIGN RETAILERS MAY</v>
          </cell>
          <cell r="I819" t="str">
            <v>Completed</v>
          </cell>
          <cell r="J819" t="str">
            <v>fernandez.r</v>
          </cell>
          <cell r="K819">
            <v>45427</v>
          </cell>
          <cell r="L819">
            <v>45535</v>
          </cell>
          <cell r="M819" t="str">
            <v>C3</v>
          </cell>
          <cell r="N819" t="str">
            <v>DIGITAL MEDIA</v>
          </cell>
          <cell r="O819" t="str">
            <v>A240</v>
          </cell>
          <cell r="P819" t="str">
            <v>SEARCH</v>
          </cell>
          <cell r="Q819" t="str">
            <v>2024</v>
          </cell>
          <cell r="R819" t="str">
            <v>FZX3GU</v>
          </cell>
          <cell r="S819" t="str">
            <v>Personal Computer Factory SA</v>
          </cell>
          <cell r="T819" t="str">
            <v/>
          </cell>
        </row>
        <row r="820">
          <cell r="C820" t="str">
            <v>T24C850000635</v>
          </cell>
          <cell r="D820" t="str">
            <v>A24C850000870</v>
          </cell>
          <cell r="E820">
            <v>2000000</v>
          </cell>
          <cell r="F820">
            <v>0</v>
          </cell>
          <cell r="G820" t="str">
            <v>Mobile Phone</v>
          </cell>
          <cell r="H820" t="str">
            <v>[1]SAMSUNG WEEK CAMPAIGN PC FACTORY - MAY</v>
          </cell>
          <cell r="I820" t="str">
            <v>Completed</v>
          </cell>
          <cell r="J820" t="str">
            <v>fernandez.r</v>
          </cell>
          <cell r="K820">
            <v>45437</v>
          </cell>
          <cell r="L820">
            <v>45504</v>
          </cell>
          <cell r="M820" t="str">
            <v>G1</v>
          </cell>
          <cell r="N820" t="str">
            <v>DIGITAL MEDIA</v>
          </cell>
          <cell r="O820" t="str">
            <v>A240</v>
          </cell>
          <cell r="P820" t="str">
            <v>SEARCH</v>
          </cell>
          <cell r="Q820" t="str">
            <v>2024</v>
          </cell>
          <cell r="R820" t="str">
            <v>FZX3GU</v>
          </cell>
          <cell r="S820" t="str">
            <v>Personal Computer Factory SA</v>
          </cell>
          <cell r="T820" t="str">
            <v/>
          </cell>
        </row>
        <row r="821">
          <cell r="C821" t="str">
            <v>T24C850000641</v>
          </cell>
          <cell r="D821" t="str">
            <v>A24C850000876</v>
          </cell>
          <cell r="E821">
            <v>2000000</v>
          </cell>
          <cell r="F821">
            <v>0</v>
          </cell>
          <cell r="G821" t="str">
            <v>Mobile Phone</v>
          </cell>
          <cell r="H821" t="str">
            <v>[1]HHP AON CAMPAIGN RETAILERS JUNE - RETAIL B</v>
          </cell>
          <cell r="I821" t="str">
            <v>Completed</v>
          </cell>
          <cell r="J821" t="str">
            <v>fernandez.r</v>
          </cell>
          <cell r="K821">
            <v>45444</v>
          </cell>
          <cell r="L821">
            <v>45535</v>
          </cell>
          <cell r="M821" t="str">
            <v>G1</v>
          </cell>
          <cell r="N821" t="str">
            <v>DIGITAL MEDIA</v>
          </cell>
          <cell r="O821" t="str">
            <v>A240</v>
          </cell>
          <cell r="P821" t="str">
            <v>SEARCH</v>
          </cell>
          <cell r="Q821" t="str">
            <v>2024</v>
          </cell>
          <cell r="R821" t="str">
            <v>FZX3GU</v>
          </cell>
          <cell r="S821" t="str">
            <v>Personal Computer Factory SA</v>
          </cell>
          <cell r="T821" t="str">
            <v/>
          </cell>
        </row>
        <row r="822">
          <cell r="C822" t="str">
            <v>T24C850000648</v>
          </cell>
          <cell r="D822" t="str">
            <v>A24C850000881</v>
          </cell>
          <cell r="E822">
            <v>2000000</v>
          </cell>
          <cell r="F822">
            <v>0</v>
          </cell>
          <cell r="G822" t="str">
            <v>Mobile Phone</v>
          </cell>
          <cell r="H822" t="str">
            <v>[4]WEAR - RETAIL AON CAMPAIGN  MAY</v>
          </cell>
          <cell r="I822" t="str">
            <v>Completed</v>
          </cell>
          <cell r="J822" t="str">
            <v>fernandez.r</v>
          </cell>
          <cell r="K822">
            <v>45437</v>
          </cell>
          <cell r="L822">
            <v>45535</v>
          </cell>
          <cell r="M822" t="str">
            <v>G1</v>
          </cell>
          <cell r="N822" t="str">
            <v>DIGITAL MEDIA</v>
          </cell>
          <cell r="O822" t="str">
            <v>A240</v>
          </cell>
          <cell r="P822" t="str">
            <v>SEARCH</v>
          </cell>
          <cell r="Q822" t="str">
            <v>2024</v>
          </cell>
          <cell r="R822" t="str">
            <v>FZX3GU</v>
          </cell>
          <cell r="S822" t="str">
            <v>Personal Computer Factory SA</v>
          </cell>
          <cell r="T822" t="str">
            <v/>
          </cell>
        </row>
        <row r="823">
          <cell r="C823" t="str">
            <v>T24C850000674</v>
          </cell>
          <cell r="D823" t="str">
            <v>A24C850000931</v>
          </cell>
          <cell r="E823">
            <v>1000000</v>
          </cell>
          <cell r="F823">
            <v>0</v>
          </cell>
          <cell r="G823" t="str">
            <v>Mobile Phone</v>
          </cell>
          <cell r="H823" t="str">
            <v>[2]PP TAB_MAY_AON</v>
          </cell>
          <cell r="I823" t="str">
            <v>Completed</v>
          </cell>
          <cell r="J823" t="str">
            <v>j.albornoz</v>
          </cell>
          <cell r="K823">
            <v>45442</v>
          </cell>
          <cell r="L823">
            <v>45473</v>
          </cell>
          <cell r="M823" t="str">
            <v>G1</v>
          </cell>
          <cell r="N823" t="str">
            <v>DIGITAL MEDIA</v>
          </cell>
          <cell r="O823" t="str">
            <v>A250</v>
          </cell>
          <cell r="P823" t="str">
            <v>DISPLAY</v>
          </cell>
          <cell r="Q823" t="str">
            <v>2024</v>
          </cell>
          <cell r="R823" t="str">
            <v>FZX3GU</v>
          </cell>
          <cell r="S823" t="str">
            <v>Personal Computer Factory SA</v>
          </cell>
          <cell r="T823" t="str">
            <v/>
          </cell>
        </row>
        <row r="824">
          <cell r="C824" t="str">
            <v>T24C850000674</v>
          </cell>
          <cell r="D824" t="str">
            <v>A24C850000931</v>
          </cell>
          <cell r="E824">
            <v>1000000</v>
          </cell>
          <cell r="F824">
            <v>0</v>
          </cell>
          <cell r="G824" t="str">
            <v>Mobile Phone</v>
          </cell>
          <cell r="H824" t="str">
            <v>[2]PP TAB_MAY_AON</v>
          </cell>
          <cell r="I824" t="str">
            <v>Completed</v>
          </cell>
          <cell r="J824" t="str">
            <v>j.albornoz</v>
          </cell>
          <cell r="K824">
            <v>45442</v>
          </cell>
          <cell r="L824">
            <v>45473</v>
          </cell>
          <cell r="M824" t="str">
            <v>G1</v>
          </cell>
          <cell r="N824" t="str">
            <v>DIGITAL MEDIA</v>
          </cell>
          <cell r="O824" t="str">
            <v>A240</v>
          </cell>
          <cell r="P824" t="str">
            <v>SEARCH</v>
          </cell>
          <cell r="Q824" t="str">
            <v>2024</v>
          </cell>
          <cell r="R824" t="str">
            <v>FZX3GU</v>
          </cell>
          <cell r="S824" t="str">
            <v>Personal Computer Factory SA</v>
          </cell>
          <cell r="T824" t="str">
            <v/>
          </cell>
        </row>
        <row r="825">
          <cell r="C825" t="str">
            <v>T22C850002189</v>
          </cell>
          <cell r="D825" t="str">
            <v>A22C850003469</v>
          </cell>
          <cell r="E825">
            <v>0</v>
          </cell>
          <cell r="F825">
            <v>3000000</v>
          </cell>
          <cell r="G825" t="str">
            <v>Mobile Phone</v>
          </cell>
          <cell r="H825" t="str">
            <v>[4]HHP/M.HASBUN/RETAIL_MEDIA_ADVERTIZING_NOV_22</v>
          </cell>
          <cell r="I825" t="str">
            <v>Closed</v>
          </cell>
          <cell r="J825" t="str">
            <v>m.hasbun</v>
          </cell>
          <cell r="K825">
            <v>44895</v>
          </cell>
          <cell r="L825">
            <v>44926</v>
          </cell>
          <cell r="M825" t="str">
            <v>G1</v>
          </cell>
          <cell r="N825" t="str">
            <v>DIGITAL MEDIA</v>
          </cell>
          <cell r="O825" t="str">
            <v>A250</v>
          </cell>
          <cell r="P825" t="str">
            <v>DISPLAY</v>
          </cell>
          <cell r="Q825" t="str">
            <v>2024</v>
          </cell>
          <cell r="R825" t="str">
            <v>FA46HD</v>
          </cell>
          <cell r="S825" t="str">
            <v>Walmart Chile S.A.</v>
          </cell>
          <cell r="T825" t="str">
            <v/>
          </cell>
        </row>
        <row r="826">
          <cell r="C826" t="str">
            <v>T22C850002189</v>
          </cell>
          <cell r="D826" t="str">
            <v>A22C850003469</v>
          </cell>
          <cell r="E826">
            <v>0</v>
          </cell>
          <cell r="F826">
            <v>4500000</v>
          </cell>
          <cell r="G826" t="str">
            <v>Mobile Phone</v>
          </cell>
          <cell r="H826" t="str">
            <v>[4]HHP/M.HASBUN/RETAIL_MEDIA_ADVERTIZING_NOV_22</v>
          </cell>
          <cell r="I826" t="str">
            <v>Closed</v>
          </cell>
          <cell r="J826" t="str">
            <v>m.hasbun</v>
          </cell>
          <cell r="K826">
            <v>44895</v>
          </cell>
          <cell r="L826">
            <v>44926</v>
          </cell>
          <cell r="M826" t="str">
            <v>G1</v>
          </cell>
          <cell r="N826" t="str">
            <v>DIGITAL MEDIA</v>
          </cell>
          <cell r="O826" t="str">
            <v>A240</v>
          </cell>
          <cell r="P826" t="str">
            <v>SEARCH</v>
          </cell>
          <cell r="Q826" t="str">
            <v>2024</v>
          </cell>
          <cell r="R826" t="str">
            <v>FA46HD</v>
          </cell>
          <cell r="S826" t="str">
            <v>Walmart Chile S.A.</v>
          </cell>
          <cell r="T826" t="str">
            <v/>
          </cell>
        </row>
        <row r="827">
          <cell r="C827" t="str">
            <v>T23C850000453</v>
          </cell>
          <cell r="D827" t="str">
            <v>A23C850000670</v>
          </cell>
          <cell r="E827">
            <v>0</v>
          </cell>
          <cell r="F827">
            <v>1000000</v>
          </cell>
          <cell r="G827" t="str">
            <v>Mobile Phone</v>
          </cell>
          <cell r="H827" t="str">
            <v>[4]PLAN PROPOSAL MARCH 2023 TABLET RETAIL COMKTG</v>
          </cell>
          <cell r="I827" t="str">
            <v>Closed</v>
          </cell>
          <cell r="J827" t="str">
            <v>zapata.e</v>
          </cell>
          <cell r="K827">
            <v>44998</v>
          </cell>
          <cell r="L827">
            <v>45077</v>
          </cell>
          <cell r="M827" t="str">
            <v>G1</v>
          </cell>
          <cell r="N827" t="str">
            <v>DIGITAL MEDIA</v>
          </cell>
          <cell r="O827" t="str">
            <v>A250</v>
          </cell>
          <cell r="P827" t="str">
            <v>DISPLAY</v>
          </cell>
          <cell r="Q827" t="str">
            <v>2024</v>
          </cell>
          <cell r="R827" t="str">
            <v>FA46HD</v>
          </cell>
          <cell r="S827" t="str">
            <v>Walmart Chile S.A.</v>
          </cell>
          <cell r="T827" t="str">
            <v/>
          </cell>
        </row>
        <row r="828">
          <cell r="C828" t="str">
            <v>T23C850000453</v>
          </cell>
          <cell r="D828" t="str">
            <v>A23C850000670</v>
          </cell>
          <cell r="E828">
            <v>0</v>
          </cell>
          <cell r="F828">
            <v>1000000</v>
          </cell>
          <cell r="G828" t="str">
            <v>Mobile Phone</v>
          </cell>
          <cell r="H828" t="str">
            <v>[4]PLAN PROPOSAL MARCH 2023 TABLET RETAIL COMKTG</v>
          </cell>
          <cell r="I828" t="str">
            <v>Closed</v>
          </cell>
          <cell r="J828" t="str">
            <v>zapata.e</v>
          </cell>
          <cell r="K828">
            <v>44998</v>
          </cell>
          <cell r="L828">
            <v>45077</v>
          </cell>
          <cell r="M828" t="str">
            <v>G1</v>
          </cell>
          <cell r="N828" t="str">
            <v>DIGITAL MEDIA</v>
          </cell>
          <cell r="O828" t="str">
            <v>A230</v>
          </cell>
          <cell r="P828" t="str">
            <v>SOCIAL ADS</v>
          </cell>
          <cell r="Q828" t="str">
            <v>2024</v>
          </cell>
          <cell r="R828" t="str">
            <v>FA46HD</v>
          </cell>
          <cell r="S828" t="str">
            <v>Walmart Chile S.A.</v>
          </cell>
          <cell r="T828" t="str">
            <v/>
          </cell>
        </row>
        <row r="829">
          <cell r="C829" t="str">
            <v>T23C850000493</v>
          </cell>
          <cell r="D829" t="str">
            <v>A23C850000773</v>
          </cell>
          <cell r="E829">
            <v>-1500000</v>
          </cell>
          <cell r="F829">
            <v>0</v>
          </cell>
          <cell r="G829" t="str">
            <v>Mobile Phone</v>
          </cell>
          <cell r="H829" t="str">
            <v>[4]2ND PLAN PROPOSAL MARCH 2023 TABLET RETAIL COMKTG</v>
          </cell>
          <cell r="I829" t="str">
            <v>Closed</v>
          </cell>
          <cell r="J829" t="str">
            <v>zapata.e</v>
          </cell>
          <cell r="K829">
            <v>45012</v>
          </cell>
          <cell r="L829">
            <v>45104</v>
          </cell>
          <cell r="M829" t="str">
            <v>G1</v>
          </cell>
          <cell r="N829" t="str">
            <v>DIGITAL MEDIA</v>
          </cell>
          <cell r="O829" t="str">
            <v>A230</v>
          </cell>
          <cell r="P829" t="str">
            <v>SOCIAL ADS</v>
          </cell>
          <cell r="Q829" t="str">
            <v>2024</v>
          </cell>
          <cell r="R829" t="str">
            <v>FA46HD</v>
          </cell>
          <cell r="S829" t="str">
            <v>Walmart Chile S.A.</v>
          </cell>
          <cell r="T829" t="str">
            <v/>
          </cell>
        </row>
        <row r="830">
          <cell r="C830" t="str">
            <v>T23C850000502</v>
          </cell>
          <cell r="D830" t="str">
            <v>A23C850000772</v>
          </cell>
          <cell r="E830">
            <v>0</v>
          </cell>
          <cell r="F830">
            <v>1000000</v>
          </cell>
          <cell r="G830" t="str">
            <v>Mobile Phone</v>
          </cell>
          <cell r="H830" t="str">
            <v>[4]2ND PLAN PROPOSAL MARCH 2023 WEARABLE RETAIL COMKTG</v>
          </cell>
          <cell r="I830" t="str">
            <v>Closed</v>
          </cell>
          <cell r="J830" t="str">
            <v>zapata.e</v>
          </cell>
          <cell r="K830">
            <v>45012</v>
          </cell>
          <cell r="L830">
            <v>45104</v>
          </cell>
          <cell r="M830" t="str">
            <v>G1</v>
          </cell>
          <cell r="N830" t="str">
            <v>DIGITAL MEDIA</v>
          </cell>
          <cell r="O830" t="str">
            <v>A240</v>
          </cell>
          <cell r="P830" t="str">
            <v>SEARCH</v>
          </cell>
          <cell r="Q830" t="str">
            <v>2024</v>
          </cell>
          <cell r="R830" t="str">
            <v>FA46HD</v>
          </cell>
          <cell r="S830" t="str">
            <v>Walmart Chile S.A.</v>
          </cell>
          <cell r="T830" t="str">
            <v/>
          </cell>
        </row>
        <row r="831">
          <cell r="C831" t="str">
            <v>T23C850000530</v>
          </cell>
          <cell r="D831" t="str">
            <v>A23C850000796</v>
          </cell>
          <cell r="E831">
            <v>0</v>
          </cell>
          <cell r="F831">
            <v>2000000</v>
          </cell>
          <cell r="G831" t="str">
            <v>Mobile Phone</v>
          </cell>
          <cell r="H831" t="str">
            <v>[4]3 PLAN PROPOSAL MARCH 2023 HHP RETAIL COMKTG</v>
          </cell>
          <cell r="I831" t="str">
            <v>Closed</v>
          </cell>
          <cell r="J831" t="str">
            <v>zapata.e</v>
          </cell>
          <cell r="K831">
            <v>45015</v>
          </cell>
          <cell r="L831">
            <v>45107</v>
          </cell>
          <cell r="M831" t="str">
            <v>G1</v>
          </cell>
          <cell r="N831" t="str">
            <v>DIGITAL MEDIA</v>
          </cell>
          <cell r="O831" t="str">
            <v>A250</v>
          </cell>
          <cell r="P831" t="str">
            <v>DISPLAY</v>
          </cell>
          <cell r="Q831" t="str">
            <v>2024</v>
          </cell>
          <cell r="R831" t="str">
            <v>FA46HD</v>
          </cell>
          <cell r="S831" t="str">
            <v>Walmart Chile S.A.</v>
          </cell>
          <cell r="T831" t="str">
            <v/>
          </cell>
        </row>
        <row r="832">
          <cell r="C832" t="str">
            <v>T23C850000530</v>
          </cell>
          <cell r="D832" t="str">
            <v>A23C850000796</v>
          </cell>
          <cell r="E832">
            <v>0</v>
          </cell>
          <cell r="F832">
            <v>3000000</v>
          </cell>
          <cell r="G832" t="str">
            <v>Mobile Phone</v>
          </cell>
          <cell r="H832" t="str">
            <v>[4]3 PLAN PROPOSAL MARCH 2023 HHP RETAIL COMKTG</v>
          </cell>
          <cell r="I832" t="str">
            <v>Closed</v>
          </cell>
          <cell r="J832" t="str">
            <v>zapata.e</v>
          </cell>
          <cell r="K832">
            <v>45015</v>
          </cell>
          <cell r="L832">
            <v>45107</v>
          </cell>
          <cell r="M832" t="str">
            <v>G1</v>
          </cell>
          <cell r="N832" t="str">
            <v>DIGITAL MEDIA</v>
          </cell>
          <cell r="O832" t="str">
            <v>A230</v>
          </cell>
          <cell r="P832" t="str">
            <v>SOCIAL ADS</v>
          </cell>
          <cell r="Q832" t="str">
            <v>2024</v>
          </cell>
          <cell r="R832" t="str">
            <v>FA46HD</v>
          </cell>
          <cell r="S832" t="str">
            <v>Walmart Chile S.A.</v>
          </cell>
          <cell r="T832" t="str">
            <v/>
          </cell>
        </row>
        <row r="833">
          <cell r="C833" t="str">
            <v>T23C850000661</v>
          </cell>
          <cell r="D833" t="str">
            <v>A23C850000923</v>
          </cell>
          <cell r="E833">
            <v>0</v>
          </cell>
          <cell r="F833">
            <v>500000</v>
          </cell>
          <cell r="G833" t="str">
            <v>Mobile Phone</v>
          </cell>
          <cell r="H833" t="str">
            <v>[4]PLAN PROPOSAL APRIL 2023 WEARABLE RETAIL Q2_COMKTG</v>
          </cell>
          <cell r="I833" t="str">
            <v>Closed</v>
          </cell>
          <cell r="J833" t="str">
            <v>zapata.e</v>
          </cell>
          <cell r="K833">
            <v>45027</v>
          </cell>
          <cell r="L833">
            <v>45137</v>
          </cell>
          <cell r="M833" t="str">
            <v>G1</v>
          </cell>
          <cell r="N833" t="str">
            <v>DIGITAL MEDIA</v>
          </cell>
          <cell r="O833" t="str">
            <v>A240</v>
          </cell>
          <cell r="P833" t="str">
            <v>SEARCH</v>
          </cell>
          <cell r="Q833" t="str">
            <v>2024</v>
          </cell>
          <cell r="R833" t="str">
            <v>FA46HD</v>
          </cell>
          <cell r="S833" t="str">
            <v>Walmart Chile S.A.</v>
          </cell>
          <cell r="T833" t="str">
            <v/>
          </cell>
        </row>
        <row r="834">
          <cell r="C834" t="str">
            <v>T23C850000661</v>
          </cell>
          <cell r="D834" t="str">
            <v>A23C850000923</v>
          </cell>
          <cell r="E834">
            <v>-500000</v>
          </cell>
          <cell r="F834">
            <v>0</v>
          </cell>
          <cell r="G834" t="str">
            <v>Mobile Phone</v>
          </cell>
          <cell r="H834" t="str">
            <v>[4]PLAN PROPOSAL APRIL 2023 WEARABLE RETAIL Q2_COMKTG</v>
          </cell>
          <cell r="I834" t="str">
            <v>Closed</v>
          </cell>
          <cell r="J834" t="str">
            <v>zapata.e</v>
          </cell>
          <cell r="K834">
            <v>45027</v>
          </cell>
          <cell r="L834">
            <v>45137</v>
          </cell>
          <cell r="M834" t="str">
            <v>G1</v>
          </cell>
          <cell r="N834" t="str">
            <v>DIGITAL MEDIA</v>
          </cell>
          <cell r="O834" t="str">
            <v>A240</v>
          </cell>
          <cell r="P834" t="str">
            <v>SEARCH</v>
          </cell>
          <cell r="Q834" t="str">
            <v>2024</v>
          </cell>
          <cell r="R834" t="str">
            <v>FA46HD</v>
          </cell>
          <cell r="S834" t="str">
            <v>Walmart Chile S.A.</v>
          </cell>
          <cell r="T834" t="str">
            <v/>
          </cell>
        </row>
        <row r="835">
          <cell r="C835" t="str">
            <v>T23C850000668</v>
          </cell>
          <cell r="D835" t="str">
            <v>A23C850000925</v>
          </cell>
          <cell r="E835">
            <v>0</v>
          </cell>
          <cell r="F835">
            <v>2000000</v>
          </cell>
          <cell r="G835" t="str">
            <v>Mobile Phone</v>
          </cell>
          <cell r="H835" t="str">
            <v>[4]PLAN PROPOSAL APRIL 2023 TABLET RETAIL Q2_COMKTG</v>
          </cell>
          <cell r="I835" t="str">
            <v>Closed</v>
          </cell>
          <cell r="J835" t="str">
            <v>zapata.e</v>
          </cell>
          <cell r="K835">
            <v>45027</v>
          </cell>
          <cell r="L835">
            <v>45137</v>
          </cell>
          <cell r="M835" t="str">
            <v>G1</v>
          </cell>
          <cell r="N835" t="str">
            <v>DIGITAL MEDIA</v>
          </cell>
          <cell r="O835" t="str">
            <v>A240</v>
          </cell>
          <cell r="P835" t="str">
            <v>SEARCH</v>
          </cell>
          <cell r="Q835" t="str">
            <v>2024</v>
          </cell>
          <cell r="R835" t="str">
            <v>FA46HD</v>
          </cell>
          <cell r="S835" t="str">
            <v>Walmart Chile S.A.</v>
          </cell>
          <cell r="T835" t="str">
            <v/>
          </cell>
        </row>
        <row r="836">
          <cell r="C836" t="str">
            <v>T23C850001109</v>
          </cell>
          <cell r="D836" t="str">
            <v>A23C850001692</v>
          </cell>
          <cell r="E836">
            <v>-2000000</v>
          </cell>
          <cell r="F836">
            <v>0</v>
          </cell>
          <cell r="G836" t="str">
            <v>Mobile Phone</v>
          </cell>
          <cell r="H836" t="str">
            <v>[6]B5Q5 RETAIL HHP AUGUST CAMPAIGN</v>
          </cell>
          <cell r="I836" t="str">
            <v>Closed</v>
          </cell>
          <cell r="J836" t="str">
            <v>m.aguila</v>
          </cell>
          <cell r="K836">
            <v>45139</v>
          </cell>
          <cell r="L836">
            <v>45230</v>
          </cell>
          <cell r="M836" t="str">
            <v>G1</v>
          </cell>
          <cell r="N836" t="str">
            <v>DIGITAL MEDIA</v>
          </cell>
          <cell r="O836" t="str">
            <v>A230</v>
          </cell>
          <cell r="P836" t="str">
            <v>SOCIAL ADS</v>
          </cell>
          <cell r="Q836" t="str">
            <v>2024</v>
          </cell>
          <cell r="R836" t="str">
            <v>FA46HD</v>
          </cell>
          <cell r="S836" t="str">
            <v>Walmart Chile S.A.</v>
          </cell>
          <cell r="T836" t="str">
            <v/>
          </cell>
        </row>
        <row r="837">
          <cell r="C837" t="str">
            <v>T23C850001212</v>
          </cell>
          <cell r="D837" t="str">
            <v>A23C850001827</v>
          </cell>
          <cell r="E837">
            <v>0</v>
          </cell>
          <cell r="F837">
            <v>648225</v>
          </cell>
          <cell r="G837" t="str">
            <v>Mobile Phone</v>
          </cell>
          <cell r="H837" t="str">
            <v>[4]ALWAYS ON HHP RETAIL.COM CAMPAIGN AUGUST</v>
          </cell>
          <cell r="I837" t="str">
            <v>Closed</v>
          </cell>
          <cell r="J837" t="str">
            <v>sjara.mella</v>
          </cell>
          <cell r="K837">
            <v>45146</v>
          </cell>
          <cell r="L837">
            <v>45230</v>
          </cell>
          <cell r="M837" t="str">
            <v>G1</v>
          </cell>
          <cell r="N837" t="str">
            <v>DIGITAL MEDIA</v>
          </cell>
          <cell r="O837" t="str">
            <v>A240</v>
          </cell>
          <cell r="P837" t="str">
            <v>SEARCH</v>
          </cell>
          <cell r="Q837" t="str">
            <v>2024</v>
          </cell>
          <cell r="R837" t="str">
            <v>FA46HD</v>
          </cell>
          <cell r="S837" t="str">
            <v>Walmart Chile S.A.</v>
          </cell>
          <cell r="T837" t="str">
            <v/>
          </cell>
        </row>
        <row r="838">
          <cell r="C838" t="str">
            <v>T23C850001212</v>
          </cell>
          <cell r="D838" t="str">
            <v>A23C850001827</v>
          </cell>
          <cell r="E838">
            <v>-351775</v>
          </cell>
          <cell r="F838">
            <v>0</v>
          </cell>
          <cell r="G838" t="str">
            <v>Mobile Phone</v>
          </cell>
          <cell r="H838" t="str">
            <v>[4]ALWAYS ON HHP RETAIL.COM CAMPAIGN AUGUST</v>
          </cell>
          <cell r="I838" t="str">
            <v>Closed</v>
          </cell>
          <cell r="J838" t="str">
            <v>sjara.mella</v>
          </cell>
          <cell r="K838">
            <v>45146</v>
          </cell>
          <cell r="L838">
            <v>45230</v>
          </cell>
          <cell r="M838" t="str">
            <v>G1</v>
          </cell>
          <cell r="N838" t="str">
            <v>DIGITAL MEDIA</v>
          </cell>
          <cell r="O838" t="str">
            <v>A240</v>
          </cell>
          <cell r="P838" t="str">
            <v>SEARCH</v>
          </cell>
          <cell r="Q838" t="str">
            <v>2024</v>
          </cell>
          <cell r="R838" t="str">
            <v>FA46HD</v>
          </cell>
          <cell r="S838" t="str">
            <v>Walmart Chile S.A.</v>
          </cell>
          <cell r="T838" t="str">
            <v/>
          </cell>
        </row>
        <row r="839">
          <cell r="C839" t="str">
            <v>T23C850001212</v>
          </cell>
          <cell r="D839" t="str">
            <v>A23C850001827</v>
          </cell>
          <cell r="E839">
            <v>0</v>
          </cell>
          <cell r="F839">
            <v>2000000</v>
          </cell>
          <cell r="G839" t="str">
            <v>Mobile Phone</v>
          </cell>
          <cell r="H839" t="str">
            <v>[4]ALWAYS ON HHP RETAIL.COM CAMPAIGN AUGUST</v>
          </cell>
          <cell r="I839" t="str">
            <v>Closed</v>
          </cell>
          <cell r="J839" t="str">
            <v>sjara.mella</v>
          </cell>
          <cell r="K839">
            <v>45146</v>
          </cell>
          <cell r="L839">
            <v>45230</v>
          </cell>
          <cell r="M839" t="str">
            <v>G1</v>
          </cell>
          <cell r="N839" t="str">
            <v>DIGITAL MEDIA</v>
          </cell>
          <cell r="O839" t="str">
            <v>A230</v>
          </cell>
          <cell r="P839" t="str">
            <v>SOCIAL ADS</v>
          </cell>
          <cell r="Q839" t="str">
            <v>2024</v>
          </cell>
          <cell r="R839" t="str">
            <v>FA46HD</v>
          </cell>
          <cell r="S839" t="str">
            <v>Walmart Chile S.A.</v>
          </cell>
          <cell r="T839" t="str">
            <v/>
          </cell>
        </row>
        <row r="840">
          <cell r="C840" t="str">
            <v>T24C850000098</v>
          </cell>
          <cell r="D840" t="str">
            <v>A24C850000150</v>
          </cell>
          <cell r="E840">
            <v>2000000</v>
          </cell>
          <cell r="F840">
            <v>0</v>
          </cell>
          <cell r="G840" t="str">
            <v>Mobile Phone</v>
          </cell>
          <cell r="H840" t="str">
            <v>[5]HHP EUREKA CAMPAIGN RETAILERS JANUARY</v>
          </cell>
          <cell r="I840" t="str">
            <v>Completed</v>
          </cell>
          <cell r="J840" t="str">
            <v>fernandez.r</v>
          </cell>
          <cell r="K840">
            <v>45303</v>
          </cell>
          <cell r="L840">
            <v>45382</v>
          </cell>
          <cell r="M840" t="str">
            <v>G1</v>
          </cell>
          <cell r="N840" t="str">
            <v>DIGITAL MEDIA</v>
          </cell>
          <cell r="O840" t="str">
            <v>A230</v>
          </cell>
          <cell r="P840" t="str">
            <v>SOCIAL ADS</v>
          </cell>
          <cell r="Q840" t="str">
            <v>2024</v>
          </cell>
          <cell r="R840" t="str">
            <v>FA46HD</v>
          </cell>
          <cell r="S840" t="str">
            <v>Walmart Chile S.A.</v>
          </cell>
          <cell r="T840" t="str">
            <v/>
          </cell>
        </row>
        <row r="841">
          <cell r="C841" t="str">
            <v>T24C850000098</v>
          </cell>
          <cell r="D841" t="str">
            <v>A24C850000150</v>
          </cell>
          <cell r="E841">
            <v>2000000</v>
          </cell>
          <cell r="F841">
            <v>0</v>
          </cell>
          <cell r="G841" t="str">
            <v>Mobile Phone</v>
          </cell>
          <cell r="H841" t="str">
            <v>[5]HHP EUREKA CAMPAIGN RETAILERS JANUARY</v>
          </cell>
          <cell r="I841" t="str">
            <v>Completed</v>
          </cell>
          <cell r="J841" t="str">
            <v>fernandez.r</v>
          </cell>
          <cell r="K841">
            <v>45303</v>
          </cell>
          <cell r="L841">
            <v>45382</v>
          </cell>
          <cell r="M841" t="str">
            <v>G1</v>
          </cell>
          <cell r="N841" t="str">
            <v>DIGITAL MEDIA</v>
          </cell>
          <cell r="O841" t="str">
            <v>A240</v>
          </cell>
          <cell r="P841" t="str">
            <v>SEARCH</v>
          </cell>
          <cell r="Q841" t="str">
            <v>2024</v>
          </cell>
          <cell r="R841" t="str">
            <v>FA46HD</v>
          </cell>
          <cell r="S841" t="str">
            <v>Walmart Chile S.A.</v>
          </cell>
          <cell r="T841" t="str">
            <v/>
          </cell>
        </row>
      </sheetData>
      <sheetData sheetId="1" refreshError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lavanchy" refreshedDate="45632.669395833334" createdVersion="6" refreshedVersion="6" minRefreshableVersion="3" recordCount="318" xr:uid="{00000000-000A-0000-FFFF-FFFF00000000}">
  <cacheSource type="worksheet">
    <worksheetSource ref="A2:V347" sheet="Detalle OCs"/>
  </cacheSource>
  <cacheFields count="20">
    <cacheField name="Retail" numFmtId="0">
      <sharedItems count="10">
        <s v="Cencosud Retail S.A."/>
        <s v="COMERCIAL ECCSA S A"/>
        <s v="Comercializadora S.A."/>
        <s v="Dist. de Industrias Nacionales S.A."/>
        <s v="DUTY FREE TC SA"/>
        <s v="EMPRESAS LA POLAR S.A."/>
        <s v="Falabella Retail S.A."/>
        <s v="MERCADOLIBRE CHILE LTDA."/>
        <s v="Personal Computer Factory SA"/>
        <s v="Walmart Chile S.A."/>
      </sharedItems>
    </cacheField>
    <cacheField name="PP" numFmtId="0">
      <sharedItems/>
    </cacheField>
    <cacheField name="OC" numFmtId="0">
      <sharedItems/>
    </cacheField>
    <cacheField name="Status Sistema" numFmtId="0">
      <sharedItems count="2">
        <s v="Closed"/>
        <s v="Completed"/>
      </sharedItems>
    </cacheField>
    <cacheField name="Fecha Inicio" numFmtId="14">
      <sharedItems containsSemiMixedTypes="0" containsNonDate="0" containsDate="1" containsString="0" minDate="2024-01-10T00:00:00" maxDate="2024-10-26T00:00:00"/>
    </cacheField>
    <cacheField name="Fecha Fin" numFmtId="14">
      <sharedItems containsSemiMixedTypes="0" containsNonDate="0" containsDate="1" containsString="0" minDate="2024-03-31T00:00:00" maxDate="2025-01-01T00:00:00"/>
    </cacheField>
    <cacheField name="Año" numFmtId="0">
      <sharedItems containsSemiMixedTypes="0" containsString="0" containsNumber="1" containsInteger="1" minValue="2024" maxValue="2024"/>
    </cacheField>
    <cacheField name="Total" numFmtId="164">
      <sharedItems containsSemiMixedTypes="0" containsString="0" containsNumber="1" containsInteger="1" minValue="0" maxValue="50396000"/>
    </cacheField>
    <cacheField name="Usado Sistema" numFmtId="164">
      <sharedItems containsString="0" containsBlank="1" containsNumber="1" containsInteger="1" minValue="0" maxValue="45000000"/>
    </cacheField>
    <cacheField name="Disponible Uso" numFmtId="164">
      <sharedItems containsSemiMixedTypes="0" containsString="0" containsNumber="1" containsInteger="1" minValue="0" maxValue="50396000"/>
    </cacheField>
    <cacheField name="Comprometido Retail" numFmtId="164">
      <sharedItems containsString="0" containsBlank="1" containsNumber="1" containsInteger="1" minValue="0" maxValue="16459757"/>
    </cacheField>
    <cacheField name="Disponible Retail" numFmtId="164">
      <sharedItems containsSemiMixedTypes="0" containsString="0" containsNumber="1" containsInteger="1" minValue="0" maxValue="47396000"/>
    </cacheField>
    <cacheField name="Campaign ID" numFmtId="164">
      <sharedItems/>
    </cacheField>
    <cacheField name="Descripción" numFmtId="0">
      <sharedItems count="4">
        <s v="HHP"/>
        <s v="NPC"/>
        <s v="TABLET"/>
        <s v="WEARABLES"/>
      </sharedItems>
    </cacheField>
    <cacheField name="Vehiculo" numFmtId="0">
      <sharedItems/>
    </cacheField>
    <cacheField name="Acción" numFmtId="0">
      <sharedItems containsBlank="1"/>
    </cacheField>
    <cacheField name="Periodo" numFmtId="0">
      <sharedItems containsBlank="1"/>
    </cacheField>
    <cacheField name="PPT" numFmtId="0">
      <sharedItems containsBlank="1"/>
    </cacheField>
    <cacheField name="OC2" numFmtId="0">
      <sharedItems containsBlank="1"/>
    </cacheField>
    <cacheField name="Factur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.lavanchy" refreshedDate="45660.628426736112" createdVersion="6" refreshedVersion="6" minRefreshableVersion="3" recordCount="17" xr:uid="{00000000-000A-0000-FFFF-FFFF01000000}">
  <cacheSource type="worksheet">
    <worksheetSource ref="A1:I18" sheet="Mail Cris"/>
  </cacheSource>
  <cacheFields count="11">
    <cacheField name="Retail" numFmtId="0">
      <sharedItems/>
    </cacheField>
    <cacheField name="OC" numFmtId="0">
      <sharedItems count="13">
        <s v="T24C850000459 B"/>
        <s v="T24C850000645"/>
        <s v="T24C850000610 B"/>
        <s v="T24C850000718"/>
        <s v="T24C850000735"/>
        <s v="T24C850000800"/>
        <s v="T24C850000806 B"/>
        <s v="T24C850000926 C"/>
        <s v="T24C850000943 B"/>
        <s v="T24C850000943 C"/>
        <s v="T24C850000955 A"/>
        <s v="T24C850000955"/>
        <s v="T24C850000985"/>
      </sharedItems>
    </cacheField>
    <cacheField name="Fecha Inicio" numFmtId="14">
      <sharedItems containsSemiMixedTypes="0" containsNonDate="0" containsDate="1" containsString="0" minDate="2024-03-31T00:00:00" maxDate="2024-08-24T00:00:00" count="9">
        <d v="2024-03-31T00:00:00"/>
        <d v="2024-05-25T00:00:00"/>
        <d v="2024-06-01T00:00:00"/>
        <d v="2024-06-02T00:00:00"/>
        <d v="2024-06-12T00:00:00"/>
        <d v="2024-06-30T00:00:00"/>
        <d v="2024-07-31T00:00:00"/>
        <d v="2024-08-09T00:00:00"/>
        <d v="2024-08-23T00:00:00"/>
      </sharedItems>
      <fieldGroup par="9" base="2">
        <rangePr groupBy="days" startDate="2024-03-31T00:00:00" endDate="2024-08-24T00:00:00"/>
        <groupItems count="368">
          <s v="&lt;3/3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4/2024"/>
        </groupItems>
      </fieldGroup>
    </cacheField>
    <cacheField name="Fecha Fin" numFmtId="14">
      <sharedItems containsSemiMixedTypes="0" containsNonDate="0" containsDate="1" containsString="0" minDate="2024-06-15T00:00:00" maxDate="2025-01-01T00:00:00" count="6">
        <d v="2024-06-30T00:00:00"/>
        <d v="2024-08-31T00:00:00"/>
        <d v="2024-06-15T00:00:00"/>
        <d v="2024-09-30T00:00:00"/>
        <d v="2024-12-31T00:00:00"/>
        <d v="2024-11-30T00:00:00"/>
      </sharedItems>
      <fieldGroup par="10" base="3">
        <rangePr groupBy="days" startDate="2024-06-15T00:00:00" endDate="2025-01-01T00:00:00"/>
        <groupItems count="368">
          <s v="&lt;6/1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5"/>
        </groupItems>
      </fieldGroup>
    </cacheField>
    <cacheField name="Total" numFmtId="164">
      <sharedItems containsSemiMixedTypes="0" containsString="0" containsNumber="1" containsInteger="1" minValue="1009275" maxValue="47396000"/>
    </cacheField>
    <cacheField name="Comprometido Retail" numFmtId="164">
      <sharedItems containsSemiMixedTypes="0" containsString="0" containsNumber="1" containsInteger="1" minValue="1009275" maxValue="36000000"/>
    </cacheField>
    <cacheField name="Disponible Retail" numFmtId="164">
      <sharedItems containsSemiMixedTypes="0" containsString="0" containsNumber="1" containsInteger="1" minValue="0" maxValue="11396000"/>
    </cacheField>
    <cacheField name="Descripción" numFmtId="0">
      <sharedItems/>
    </cacheField>
    <cacheField name="Vehiculo" numFmtId="0">
      <sharedItems/>
    </cacheField>
    <cacheField name="Months" numFmtId="0" databaseField="0">
      <fieldGroup base="2">
        <rangePr groupBy="months" startDate="2024-03-31T00:00:00" endDate="2024-08-24T00:00:00"/>
        <groupItems count="14">
          <s v="&lt;3/3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4/2024"/>
        </groupItems>
      </fieldGroup>
    </cacheField>
    <cacheField name="Months2" numFmtId="0" databaseField="0">
      <fieldGroup base="3">
        <rangePr groupBy="months" startDate="2024-06-15T00:00:00" endDate="2025-01-01T00:00:00"/>
        <groupItems count="14">
          <s v="&lt;6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8">
  <r>
    <x v="0"/>
    <s v="A24C850000149"/>
    <s v="T24C850000091"/>
    <x v="0"/>
    <d v="2024-01-10T00:00:00"/>
    <d v="2024-03-31T00:00:00"/>
    <n v="2024"/>
    <n v="1000000"/>
    <n v="1000000"/>
    <n v="0"/>
    <n v="0"/>
    <n v="0"/>
    <s v="P24C850000013"/>
    <x v="0"/>
    <s v="DISPLAY"/>
    <s v="Pmax Ene - Feb"/>
    <s v="Pmax Ene - Feb"/>
    <s v="OK"/>
    <s v="OK"/>
    <s v="OK"/>
  </r>
  <r>
    <x v="0"/>
    <s v="A24C850000149"/>
    <s v="T24C850000091"/>
    <x v="0"/>
    <d v="2024-01-10T00:00:00"/>
    <d v="2024-03-31T00:00:00"/>
    <n v="2024"/>
    <n v="1892218"/>
    <n v="1890000"/>
    <n v="0"/>
    <n v="0"/>
    <n v="0"/>
    <s v="P24C850000013"/>
    <x v="0"/>
    <s v="SEARCH"/>
    <s v="Pmax Ene - Feb"/>
    <s v="Pmax Ene - Feb"/>
    <s v="OK"/>
    <s v="OK"/>
    <s v="OK"/>
  </r>
  <r>
    <x v="0"/>
    <s v="A24C850000150"/>
    <s v="T24C850000095"/>
    <x v="0"/>
    <d v="2024-01-12T00:00:00"/>
    <d v="2024-03-31T00:00:00"/>
    <n v="2024"/>
    <n v="4000000"/>
    <n v="4000000"/>
    <n v="0"/>
    <n v="0"/>
    <n v="0"/>
    <s v="P24C850000013"/>
    <x v="0"/>
    <s v="DISPLAY"/>
    <s v="Pre/Lanz S24"/>
    <s v="Pre/Lanz S24"/>
    <s v="OK"/>
    <s v="OK"/>
    <s v="OK"/>
  </r>
  <r>
    <x v="0"/>
    <s v="A24C850000150"/>
    <s v="T24C850000095"/>
    <x v="0"/>
    <d v="2024-01-12T00:00:00"/>
    <d v="2024-03-31T00:00:00"/>
    <n v="2024"/>
    <n v="5500000"/>
    <n v="5500000"/>
    <n v="0"/>
    <n v="0"/>
    <n v="0"/>
    <s v="P24C850000013"/>
    <x v="0"/>
    <s v="SOCIAL ADS"/>
    <s v="Pre/Lanz S24"/>
    <s v="Pre/Lanz S24"/>
    <s v="OK"/>
    <s v="OK"/>
    <s v="OK"/>
  </r>
  <r>
    <x v="0"/>
    <s v="A24C850000150"/>
    <s v="T24C850000095"/>
    <x v="0"/>
    <d v="2024-01-12T00:00:00"/>
    <d v="2024-03-31T00:00:00"/>
    <n v="2024"/>
    <n v="6500000"/>
    <n v="6500000"/>
    <n v="0"/>
    <n v="0"/>
    <n v="0"/>
    <s v="P24C850000013"/>
    <x v="0"/>
    <s v="SEARCH"/>
    <s v="Pre/Lanz S24"/>
    <s v="Pre/Lanz S24"/>
    <s v="OK"/>
    <s v="OK"/>
    <s v="OK"/>
  </r>
  <r>
    <x v="0"/>
    <s v="A24C850000150"/>
    <s v="T24C850000095"/>
    <x v="0"/>
    <d v="2024-01-12T00:00:00"/>
    <d v="2024-03-31T00:00:00"/>
    <n v="2024"/>
    <n v="30000000"/>
    <n v="30000000"/>
    <n v="0"/>
    <n v="0"/>
    <n v="0"/>
    <s v="P24C850000013"/>
    <x v="0"/>
    <s v="ADS TV"/>
    <s v="Pre/Lanz S24"/>
    <s v="Pre/Lanz S24"/>
    <s v="OK"/>
    <s v="OK"/>
    <s v="OK"/>
  </r>
  <r>
    <x v="0"/>
    <s v="A24C850000381"/>
    <s v="T24C850000264"/>
    <x v="0"/>
    <d v="2024-02-15T00:00:00"/>
    <d v="2024-05-31T00:00:00"/>
    <n v="2024"/>
    <n v="2000000"/>
    <n v="2000000"/>
    <n v="0"/>
    <n v="0"/>
    <n v="0"/>
    <s v="P24C850000012"/>
    <x v="1"/>
    <s v="SEARCH"/>
    <s v="Black Friday"/>
    <s v="Black Friday"/>
    <s v="OK"/>
    <s v="OK"/>
    <s v="OK"/>
  </r>
  <r>
    <x v="0"/>
    <s v="A24C850000380"/>
    <s v="T24C850000272"/>
    <x v="0"/>
    <d v="2024-02-15T00:00:00"/>
    <d v="2024-05-31T00:00:00"/>
    <n v="2024"/>
    <n v="3500000"/>
    <n v="3500000"/>
    <n v="0"/>
    <n v="0"/>
    <n v="0"/>
    <s v="P24C850000014"/>
    <x v="2"/>
    <s v="SEARCH"/>
    <s v="AO"/>
    <s v="AO"/>
    <s v="OK"/>
    <s v="OK"/>
    <s v="OK"/>
  </r>
  <r>
    <x v="0"/>
    <s v="A24C850000515"/>
    <s v="T24C850000345"/>
    <x v="0"/>
    <d v="2024-03-12T00:00:00"/>
    <d v="2024-05-31T00:00:00"/>
    <n v="2024"/>
    <n v="2071109"/>
    <n v="2071109"/>
    <n v="0"/>
    <n v="0"/>
    <n v="0"/>
    <s v="P24C850000013"/>
    <x v="0"/>
    <s v="DISPLAY"/>
    <s v="AO Marzo"/>
    <s v="AO Marzo"/>
    <s v="OK"/>
    <s v="OK"/>
    <s v="OK"/>
  </r>
  <r>
    <x v="0"/>
    <s v="A24C850000515"/>
    <s v="T24C850000345"/>
    <x v="0"/>
    <d v="2024-03-12T00:00:00"/>
    <d v="2024-05-31T00:00:00"/>
    <n v="2024"/>
    <n v="7000000"/>
    <n v="7000000"/>
    <n v="0"/>
    <n v="0"/>
    <n v="0"/>
    <s v="P24C850000013"/>
    <x v="0"/>
    <s v="SEARCH"/>
    <s v="AO Marzo"/>
    <s v="AO Marzo"/>
    <s v="OK"/>
    <s v="OK"/>
    <s v="OK"/>
  </r>
  <r>
    <x v="0"/>
    <s v="A24C850000621"/>
    <s v="T24C850000403"/>
    <x v="1"/>
    <d v="2024-03-27T00:00:00"/>
    <d v="2024-05-31T00:00:00"/>
    <n v="2024"/>
    <n v="1500000"/>
    <n v="1500000"/>
    <n v="0"/>
    <n v="0"/>
    <n v="0"/>
    <s v="P24C850000015"/>
    <x v="3"/>
    <s v="SEARCH"/>
    <m/>
    <s v="Black Friday"/>
    <s v="OK"/>
    <s v="OK"/>
    <s v="OK"/>
  </r>
  <r>
    <x v="0"/>
    <s v="A24C850000621"/>
    <s v="T24C850000403"/>
    <x v="1"/>
    <d v="2024-03-27T00:00:00"/>
    <d v="2024-05-31T00:00:00"/>
    <n v="2024"/>
    <n v="2500000"/>
    <n v="0"/>
    <n v="2500000"/>
    <n v="2500000"/>
    <n v="0"/>
    <s v="P24C850000015"/>
    <x v="3"/>
    <s v="SEARCH"/>
    <m/>
    <s v="Fit3"/>
    <s v="OK"/>
    <s v="OK"/>
    <m/>
  </r>
  <r>
    <x v="0"/>
    <s v="A24C850000621"/>
    <s v="T24C850000403"/>
    <x v="1"/>
    <d v="2024-03-27T00:00:00"/>
    <d v="2024-05-31T00:00:00"/>
    <n v="2024"/>
    <n v="2000000"/>
    <n v="0"/>
    <n v="2000000"/>
    <n v="2000000"/>
    <n v="0"/>
    <s v="P24C850000015"/>
    <x v="3"/>
    <s v="DISPLAY"/>
    <m/>
    <s v="Fit3"/>
    <s v="OK"/>
    <s v="OK"/>
    <m/>
  </r>
  <r>
    <x v="0"/>
    <s v="A24C850000530"/>
    <s v="T24C850000360"/>
    <x v="1"/>
    <d v="2024-04-01T00:00:00"/>
    <d v="2024-06-30T00:00:00"/>
    <n v="2024"/>
    <n v="2071109"/>
    <n v="0"/>
    <n v="2071109"/>
    <n v="2071109"/>
    <n v="0"/>
    <s v="P24C850000013"/>
    <x v="0"/>
    <s v="DISPLAY"/>
    <m/>
    <s v="AO Abril"/>
    <s v="OK"/>
    <s v="OK"/>
    <m/>
  </r>
  <r>
    <x v="0"/>
    <s v="A24C850000530"/>
    <s v="T24C850000360"/>
    <x v="1"/>
    <d v="2024-04-01T00:00:00"/>
    <d v="2024-06-30T00:00:00"/>
    <n v="2024"/>
    <n v="7000000"/>
    <n v="0"/>
    <n v="7000000"/>
    <n v="7000000"/>
    <n v="0"/>
    <s v="P24C850000013"/>
    <x v="0"/>
    <s v="SEARCH"/>
    <m/>
    <s v="AO Abril"/>
    <s v="OK"/>
    <s v="OK"/>
    <m/>
  </r>
  <r>
    <x v="0"/>
    <s v="A24C850000712"/>
    <s v="T24C850000510"/>
    <x v="1"/>
    <d v="2024-04-03T00:00:00"/>
    <d v="2024-07-31T00:00:00"/>
    <n v="2024"/>
    <n v="3863449"/>
    <n v="0"/>
    <n v="3863449"/>
    <n v="3863449"/>
    <n v="0"/>
    <s v="P24C850000013"/>
    <x v="0"/>
    <s v="DISPLAY"/>
    <m/>
    <s v="Lanzamiento A35|A55"/>
    <s v="OK"/>
    <s v="OK"/>
    <m/>
  </r>
  <r>
    <x v="0"/>
    <s v="A24C850000712"/>
    <s v="T24C850000510 B"/>
    <x v="1"/>
    <d v="2024-04-03T00:00:00"/>
    <d v="2024-07-31T00:00:00"/>
    <n v="2024"/>
    <n v="136551"/>
    <n v="0"/>
    <n v="136551"/>
    <n v="0"/>
    <n v="136551"/>
    <s v="P24C850000013"/>
    <x v="0"/>
    <s v="DISPLAY"/>
    <m/>
    <m/>
    <m/>
    <m/>
    <m/>
  </r>
  <r>
    <x v="0"/>
    <s v="A24C850000712"/>
    <s v="T24C850000510"/>
    <x v="1"/>
    <d v="2024-04-03T00:00:00"/>
    <d v="2024-07-31T00:00:00"/>
    <n v="2024"/>
    <n v="3000000"/>
    <n v="0"/>
    <n v="3000000"/>
    <n v="3000000"/>
    <n v="0"/>
    <s v="P24C850000013"/>
    <x v="0"/>
    <s v="SOCIAL ADS"/>
    <m/>
    <s v="Lanzamiento A35|A55"/>
    <s v="OK"/>
    <s v="OK"/>
    <m/>
  </r>
  <r>
    <x v="0"/>
    <s v="A24C850000712"/>
    <s v="T24C850000510"/>
    <x v="1"/>
    <d v="2024-04-03T00:00:00"/>
    <d v="2024-07-31T00:00:00"/>
    <n v="2024"/>
    <n v="5000000"/>
    <n v="0"/>
    <n v="5000000"/>
    <n v="5000000"/>
    <n v="0"/>
    <s v="P24C850000013"/>
    <x v="0"/>
    <s v="SEARCH"/>
    <m/>
    <s v="Lanzamiento A35|A55"/>
    <s v="OK"/>
    <s v="OK"/>
    <m/>
  </r>
  <r>
    <x v="0"/>
    <s v="A24C850000712"/>
    <s v="T24C850000510 B"/>
    <x v="1"/>
    <d v="2024-04-03T00:00:00"/>
    <d v="2024-07-31T00:00:00"/>
    <n v="2024"/>
    <n v="2000000"/>
    <n v="0"/>
    <n v="2000000"/>
    <n v="0"/>
    <n v="2000000"/>
    <s v="P24C850000013"/>
    <x v="0"/>
    <s v="SEARCH"/>
    <m/>
    <m/>
    <m/>
    <m/>
    <m/>
  </r>
  <r>
    <x v="0"/>
    <s v="A24C850000791"/>
    <s v="T24C850000561"/>
    <x v="0"/>
    <d v="2024-04-26T00:00:00"/>
    <d v="2024-06-30T00:00:00"/>
    <n v="2024"/>
    <n v="5000000"/>
    <n v="5000000"/>
    <n v="0"/>
    <n v="0"/>
    <n v="0"/>
    <s v="P24C850000014"/>
    <x v="2"/>
    <s v="DISPLAY"/>
    <s v="Sustain S24"/>
    <s v="Sustain S24"/>
    <s v="OK"/>
    <s v="OK"/>
    <s v="OK"/>
  </r>
  <r>
    <x v="0"/>
    <s v="A24C850000791"/>
    <s v="T24C850000561"/>
    <x v="0"/>
    <d v="2024-04-26T00:00:00"/>
    <d v="2024-06-30T00:00:00"/>
    <n v="2024"/>
    <n v="5000000"/>
    <n v="5000000"/>
    <n v="0"/>
    <n v="0"/>
    <n v="0"/>
    <s v="P24C850000014"/>
    <x v="2"/>
    <s v="SEARCH"/>
    <s v="Sustain S24"/>
    <s v="Sustain S24"/>
    <s v="OK"/>
    <s v="OK"/>
    <s v="OK"/>
  </r>
  <r>
    <x v="0"/>
    <s v="A24C850000538"/>
    <s v="T24C850000363"/>
    <x v="1"/>
    <d v="2024-05-01T00:00:00"/>
    <d v="2024-07-31T00:00:00"/>
    <n v="2024"/>
    <n v="2071109"/>
    <n v="0"/>
    <n v="2071109"/>
    <n v="2071109"/>
    <n v="0"/>
    <s v="P24C850000013"/>
    <x v="0"/>
    <s v="DISPLAY"/>
    <m/>
    <s v="AON Mayo"/>
    <s v="OK"/>
    <s v="OK"/>
    <m/>
  </r>
  <r>
    <x v="0"/>
    <s v="A24C850000538"/>
    <s v="T24C850000363"/>
    <x v="1"/>
    <d v="2024-05-01T00:00:00"/>
    <d v="2024-07-31T00:00:00"/>
    <n v="2024"/>
    <n v="3000000"/>
    <n v="0"/>
    <n v="3000000"/>
    <n v="3000000"/>
    <n v="0"/>
    <s v="P24C850000013"/>
    <x v="0"/>
    <s v="SEARCH"/>
    <m/>
    <s v="AON Mayo"/>
    <s v="OK"/>
    <s v="OK"/>
    <m/>
  </r>
  <r>
    <x v="0"/>
    <s v="A24C850000538"/>
    <s v="T24C850000363"/>
    <x v="1"/>
    <d v="2024-05-01T00:00:00"/>
    <d v="2024-07-31T00:00:00"/>
    <n v="2024"/>
    <n v="4000000"/>
    <n v="0"/>
    <n v="4000000"/>
    <n v="4000000"/>
    <n v="0"/>
    <s v="P24C850000013"/>
    <x v="0"/>
    <s v="SEARCH"/>
    <m/>
    <s v="Cyber pt1"/>
    <s v="OK"/>
    <s v="OK"/>
    <m/>
  </r>
  <r>
    <x v="0"/>
    <s v="A24C850000877"/>
    <s v="T24C850000629"/>
    <x v="1"/>
    <d v="2024-05-15T00:00:00"/>
    <d v="2024-08-31T00:00:00"/>
    <n v="2024"/>
    <n v="3000000"/>
    <n v="0"/>
    <n v="3000000"/>
    <n v="3000000"/>
    <n v="0"/>
    <s v="P24C850000012"/>
    <x v="1"/>
    <s v="DISPLAY"/>
    <m/>
    <s v="Cyber pt2"/>
    <s v="OK"/>
    <s v="OK"/>
    <m/>
  </r>
  <r>
    <x v="0"/>
    <s v="A24C850000877"/>
    <s v="T24C850000629"/>
    <x v="1"/>
    <d v="2024-05-15T00:00:00"/>
    <d v="2024-08-31T00:00:00"/>
    <n v="2024"/>
    <n v="4000000"/>
    <n v="0"/>
    <n v="4000000"/>
    <n v="4000000"/>
    <n v="0"/>
    <s v="P24C850000012"/>
    <x v="1"/>
    <s v="SEARCH"/>
    <m/>
    <s v="Cyber pt2"/>
    <s v="OK"/>
    <s v="OK"/>
    <m/>
  </r>
  <r>
    <x v="0"/>
    <s v="A24C850000881"/>
    <s v="T24C850000646"/>
    <x v="1"/>
    <d v="2024-05-25T00:00:00"/>
    <d v="2024-08-31T00:00:00"/>
    <n v="2024"/>
    <n v="2000000"/>
    <n v="0"/>
    <n v="2000000"/>
    <n v="0"/>
    <n v="2000000"/>
    <s v="P24C850000015"/>
    <x v="3"/>
    <s v="SEARCH"/>
    <m/>
    <m/>
    <m/>
    <m/>
    <m/>
  </r>
  <r>
    <x v="0"/>
    <s v="A24C850000931"/>
    <s v="T24C850000676"/>
    <x v="1"/>
    <d v="2024-05-30T00:00:00"/>
    <d v="2024-06-30T00:00:00"/>
    <n v="2024"/>
    <n v="1000000"/>
    <n v="0"/>
    <n v="1000000"/>
    <n v="1000000"/>
    <n v="0"/>
    <s v="P24C850000014"/>
    <x v="2"/>
    <s v="DISPLAY"/>
    <m/>
    <s v="Cyber pt1"/>
    <s v="OK"/>
    <s v="OK"/>
    <m/>
  </r>
  <r>
    <x v="0"/>
    <s v="A24C850000931"/>
    <s v="T24C850000676"/>
    <x v="1"/>
    <d v="2024-05-30T00:00:00"/>
    <d v="2024-06-30T00:00:00"/>
    <n v="2024"/>
    <n v="2000000"/>
    <n v="0"/>
    <n v="2000000"/>
    <n v="2000000"/>
    <n v="0"/>
    <s v="P24C850000014"/>
    <x v="2"/>
    <s v="SEARCH"/>
    <m/>
    <s v="Cyber pt1"/>
    <s v="OK"/>
    <s v="OK"/>
    <m/>
  </r>
  <r>
    <x v="0"/>
    <s v="A24C850000882"/>
    <s v="T24C850000611"/>
    <x v="1"/>
    <d v="2024-06-01T00:00:00"/>
    <d v="2024-08-31T00:00:00"/>
    <n v="2024"/>
    <n v="1000000"/>
    <n v="0"/>
    <n v="1000000"/>
    <n v="1000000"/>
    <n v="0"/>
    <s v="P24C850000014"/>
    <x v="2"/>
    <s v="DISPLAY"/>
    <m/>
    <s v="AO Julio"/>
    <s v="OK"/>
    <s v="OK"/>
    <m/>
  </r>
  <r>
    <x v="0"/>
    <s v="A24C850000882"/>
    <s v="T24C850000611"/>
    <x v="1"/>
    <d v="2024-06-01T00:00:00"/>
    <d v="2024-08-31T00:00:00"/>
    <n v="2024"/>
    <n v="2000000"/>
    <n v="0"/>
    <n v="2000000"/>
    <n v="2000000"/>
    <n v="0"/>
    <s v="P24C850000014"/>
    <x v="2"/>
    <s v="SEARCH"/>
    <m/>
    <s v="AO Julio"/>
    <s v="OK"/>
    <s v="OK"/>
    <m/>
  </r>
  <r>
    <x v="0"/>
    <s v="A24C850000872"/>
    <s v="T24C850000615"/>
    <x v="1"/>
    <d v="2024-06-01T00:00:00"/>
    <d v="2024-08-31T00:00:00"/>
    <n v="2024"/>
    <n v="3000000"/>
    <n v="0"/>
    <n v="3000000"/>
    <n v="3000000"/>
    <n v="0"/>
    <s v="P24C850000013"/>
    <x v="0"/>
    <s v="DISPLAY"/>
    <m/>
    <s v="Cyber pt2"/>
    <s v="OK"/>
    <s v="OK"/>
    <m/>
  </r>
  <r>
    <x v="0"/>
    <s v="A24C850000872"/>
    <s v="T24C850000615"/>
    <x v="1"/>
    <d v="2024-06-01T00:00:00"/>
    <d v="2024-08-31T00:00:00"/>
    <n v="2024"/>
    <n v="2800000"/>
    <n v="0"/>
    <n v="2800000"/>
    <n v="2800000"/>
    <n v="0"/>
    <s v="P24C850000013"/>
    <x v="0"/>
    <s v="SEARCH"/>
    <m/>
    <s v="Cyber pt2"/>
    <s v="OK"/>
    <s v="OK"/>
    <m/>
  </r>
  <r>
    <x v="0"/>
    <s v="A24C850000872"/>
    <s v="T24C850000615"/>
    <x v="1"/>
    <d v="2024-06-01T00:00:00"/>
    <d v="2024-08-31T00:00:00"/>
    <n v="2024"/>
    <n v="2500000"/>
    <n v="0"/>
    <n v="2500000"/>
    <n v="2500000"/>
    <n v="0"/>
    <s v="P24C850000013"/>
    <x v="0"/>
    <s v="SEARCH"/>
    <m/>
    <s v="AO Junio"/>
    <s v="OK"/>
    <s v="OK"/>
    <m/>
  </r>
  <r>
    <x v="0"/>
    <s v="A24C850001114"/>
    <s v="T24C850000802"/>
    <x v="1"/>
    <d v="2024-06-30T00:00:00"/>
    <d v="2024-09-30T00:00:00"/>
    <n v="2024"/>
    <n v="4000000"/>
    <n v="0"/>
    <n v="4000000"/>
    <n v="0"/>
    <n v="4000000"/>
    <s v="P24C850000013"/>
    <x v="0"/>
    <s v="SEARCH"/>
    <m/>
    <m/>
    <m/>
    <m/>
    <m/>
  </r>
  <r>
    <x v="0"/>
    <s v="A24C850001114"/>
    <s v="T24C850000802"/>
    <x v="1"/>
    <d v="2024-06-30T00:00:00"/>
    <d v="2024-09-30T00:00:00"/>
    <n v="2024"/>
    <n v="3500000"/>
    <n v="0"/>
    <n v="3500000"/>
    <n v="0"/>
    <n v="3500000"/>
    <s v="P24C850000013"/>
    <x v="0"/>
    <s v="SOCIAL ADS"/>
    <m/>
    <m/>
    <m/>
    <m/>
    <m/>
  </r>
  <r>
    <x v="0"/>
    <s v="A24C850001111"/>
    <s v="T24C850000807"/>
    <x v="1"/>
    <d v="2024-06-30T00:00:00"/>
    <d v="2024-09-30T00:00:00"/>
    <n v="2024"/>
    <n v="4000000"/>
    <n v="0"/>
    <n v="4000000"/>
    <n v="4000000"/>
    <n v="0"/>
    <s v="P24C850000013"/>
    <x v="0"/>
    <s v="SEARCH"/>
    <m/>
    <s v="Samsung Week"/>
    <s v="OK"/>
    <s v="OK"/>
    <m/>
  </r>
  <r>
    <x v="0"/>
    <s v="A24C850001111"/>
    <s v="T24C850000807"/>
    <x v="1"/>
    <d v="2024-06-30T00:00:00"/>
    <d v="2024-09-30T00:00:00"/>
    <n v="2024"/>
    <n v="1000000"/>
    <n v="0"/>
    <n v="1000000"/>
    <n v="1000000"/>
    <n v="0"/>
    <s v="P24C850000013"/>
    <x v="0"/>
    <s v="SEARCH"/>
    <m/>
    <s v="AI Week"/>
    <s v="OK"/>
    <s v="OK"/>
    <m/>
  </r>
  <r>
    <x v="0"/>
    <s v="A24C850001111"/>
    <s v="T24C850000807"/>
    <x v="1"/>
    <d v="2024-06-30T00:00:00"/>
    <d v="2024-09-30T00:00:00"/>
    <n v="2024"/>
    <n v="3000000"/>
    <n v="0"/>
    <n v="3000000"/>
    <n v="3000000"/>
    <n v="0"/>
    <s v="P24C850000013"/>
    <x v="0"/>
    <s v="SOCIAL ADS"/>
    <m/>
    <s v="AI Week"/>
    <s v="OK"/>
    <s v="OK"/>
    <m/>
  </r>
  <r>
    <x v="0"/>
    <s v="A24C850001111"/>
    <s v="T24C850000807 B"/>
    <x v="1"/>
    <d v="2024-06-30T00:00:00"/>
    <d v="2024-09-30T00:00:00"/>
    <n v="2024"/>
    <n v="2000000"/>
    <n v="0"/>
    <n v="2000000"/>
    <n v="0"/>
    <n v="2000000"/>
    <s v="P24C850000013"/>
    <x v="0"/>
    <s v="SOCIAL ADS"/>
    <m/>
    <m/>
    <m/>
    <m/>
    <m/>
  </r>
  <r>
    <x v="0"/>
    <s v="A24C850001148"/>
    <s v="T24C850000874"/>
    <x v="1"/>
    <d v="2024-07-12T00:00:00"/>
    <d v="2024-09-30T00:00:00"/>
    <n v="2024"/>
    <n v="2000000"/>
    <n v="0"/>
    <n v="2000000"/>
    <n v="2000000"/>
    <n v="0"/>
    <s v="P24C850000013"/>
    <x v="0"/>
    <s v="DISPLAY"/>
    <m/>
    <s v="AO Julio"/>
    <s v="OK"/>
    <s v="OK"/>
    <m/>
  </r>
  <r>
    <x v="0"/>
    <s v="A24C850001148"/>
    <s v="T24C850000874"/>
    <x v="1"/>
    <d v="2024-07-12T00:00:00"/>
    <d v="2024-09-30T00:00:00"/>
    <n v="2024"/>
    <n v="7000000"/>
    <n v="0"/>
    <n v="7000000"/>
    <n v="7000000"/>
    <n v="0"/>
    <s v="P24C850000013"/>
    <x v="0"/>
    <s v="SEARCH"/>
    <m/>
    <s v="AO Julio"/>
    <s v="OK"/>
    <s v="OK"/>
    <m/>
  </r>
  <r>
    <x v="0"/>
    <s v="A24C850001171"/>
    <s v="T24C850000875"/>
    <x v="1"/>
    <d v="2024-07-12T00:00:00"/>
    <d v="2024-09-30T00:00:00"/>
    <n v="2024"/>
    <n v="3000000"/>
    <n v="0"/>
    <n v="3000000"/>
    <n v="3000000"/>
    <n v="0"/>
    <s v="P24C850000015"/>
    <x v="3"/>
    <s v="SEARCH"/>
    <m/>
    <s v="Lanzamiento Watch7"/>
    <s v="OK"/>
    <s v="OK"/>
    <m/>
  </r>
  <r>
    <x v="0"/>
    <s v="A24C850001171"/>
    <s v="T24C850000875"/>
    <x v="1"/>
    <d v="2024-07-12T00:00:00"/>
    <d v="2024-09-30T00:00:00"/>
    <n v="2024"/>
    <n v="2000000"/>
    <n v="0"/>
    <n v="2000000"/>
    <n v="2000000"/>
    <n v="0"/>
    <s v="P24C850000015"/>
    <x v="3"/>
    <s v="DISPLAY"/>
    <m/>
    <s v="Lanzamiento Watch7"/>
    <s v="OK"/>
    <s v="OK"/>
    <m/>
  </r>
  <r>
    <x v="0"/>
    <s v="A24C850001164"/>
    <s v="T24C850000877"/>
    <x v="1"/>
    <d v="2024-07-12T00:00:00"/>
    <d v="2024-09-30T00:00:00"/>
    <n v="2024"/>
    <n v="2000000"/>
    <n v="0"/>
    <n v="2000000"/>
    <n v="2000000"/>
    <n v="0"/>
    <s v="P24C850000014"/>
    <x v="2"/>
    <s v="DISPLAY"/>
    <m/>
    <s v="AO Agosto"/>
    <s v="OK"/>
    <s v="OK"/>
    <m/>
  </r>
  <r>
    <x v="0"/>
    <s v="A24C850001164"/>
    <s v="T24C850000877"/>
    <x v="1"/>
    <d v="2024-07-12T00:00:00"/>
    <d v="2024-09-30T00:00:00"/>
    <n v="2024"/>
    <n v="4000000"/>
    <n v="0"/>
    <n v="4000000"/>
    <n v="4000000"/>
    <n v="0"/>
    <s v="P24C850000014"/>
    <x v="2"/>
    <s v="SEARCH"/>
    <m/>
    <s v="AO Agosto"/>
    <s v="OK"/>
    <s v="OK"/>
    <m/>
  </r>
  <r>
    <x v="0"/>
    <s v="A24C850001265"/>
    <s v="T24C850000935"/>
    <x v="1"/>
    <d v="2024-08-09T00:00:00"/>
    <d v="2024-11-30T00:00:00"/>
    <n v="2024"/>
    <n v="2000000"/>
    <n v="0"/>
    <n v="2000000"/>
    <n v="2000000"/>
    <n v="0"/>
    <s v="P24C850000014"/>
    <x v="2"/>
    <s v="DISPLAY"/>
    <m/>
    <s v="AO Agosto"/>
    <s v="OK"/>
    <s v="OK"/>
    <m/>
  </r>
  <r>
    <x v="0"/>
    <s v="A24C850001265"/>
    <s v="T24C850000935 B"/>
    <x v="1"/>
    <d v="2024-08-09T00:00:00"/>
    <d v="2024-11-30T00:00:00"/>
    <n v="2024"/>
    <n v="3000000"/>
    <n v="0"/>
    <n v="3000000"/>
    <n v="0"/>
    <n v="3000000"/>
    <s v="P24C850000014"/>
    <x v="2"/>
    <s v="DISPLAY"/>
    <m/>
    <m/>
    <m/>
    <m/>
    <m/>
  </r>
  <r>
    <x v="0"/>
    <s v="A24C850001265"/>
    <s v="T24C850000935"/>
    <x v="1"/>
    <d v="2024-08-09T00:00:00"/>
    <d v="2024-11-30T00:00:00"/>
    <n v="2024"/>
    <n v="4000000"/>
    <n v="0"/>
    <n v="4000000"/>
    <n v="4000000"/>
    <n v="0"/>
    <s v="P24C850000014"/>
    <x v="2"/>
    <s v="SEARCH"/>
    <m/>
    <s v="AO Agosto"/>
    <s v="OK"/>
    <s v="OK"/>
    <m/>
  </r>
  <r>
    <x v="0"/>
    <s v="A24C850001265"/>
    <s v="T24C850000935 B"/>
    <x v="1"/>
    <d v="2024-08-09T00:00:00"/>
    <d v="2024-11-30T00:00:00"/>
    <n v="2024"/>
    <n v="3000000"/>
    <n v="0"/>
    <n v="3000000"/>
    <n v="0"/>
    <n v="3000000"/>
    <s v="P24C850000014"/>
    <x v="2"/>
    <s v="SEARCH"/>
    <m/>
    <m/>
    <m/>
    <m/>
    <m/>
  </r>
  <r>
    <x v="0"/>
    <s v="A24C850001285"/>
    <s v="T24C850000953"/>
    <x v="1"/>
    <d v="2024-08-09T00:00:00"/>
    <d v="2024-11-30T00:00:00"/>
    <n v="2024"/>
    <n v="3000000"/>
    <n v="0"/>
    <n v="3000000"/>
    <n v="3000000"/>
    <n v="0"/>
    <s v="P24C850000013"/>
    <x v="0"/>
    <s v="DISPLAY"/>
    <m/>
    <s v="AO Agosto"/>
    <s v="OK"/>
    <s v="OK"/>
    <m/>
  </r>
  <r>
    <x v="0"/>
    <s v="A24C850001285"/>
    <s v="T24C850000953 B"/>
    <x v="1"/>
    <d v="2024-08-09T00:00:00"/>
    <d v="2024-11-30T00:00:00"/>
    <n v="2024"/>
    <n v="2000000"/>
    <n v="0"/>
    <n v="2000000"/>
    <n v="0"/>
    <n v="2000000"/>
    <s v="P24C850000013"/>
    <x v="0"/>
    <s v="DISPLAY"/>
    <m/>
    <m/>
    <m/>
    <m/>
    <m/>
  </r>
  <r>
    <x v="0"/>
    <s v="A24C850001285"/>
    <s v="T24C850000953"/>
    <x v="1"/>
    <d v="2024-08-09T00:00:00"/>
    <d v="2024-11-30T00:00:00"/>
    <n v="2024"/>
    <n v="7000000"/>
    <n v="0"/>
    <n v="7000000"/>
    <n v="7000000"/>
    <n v="0"/>
    <s v="P24C850000013"/>
    <x v="0"/>
    <s v="SEARCH"/>
    <m/>
    <s v="AO Agosto"/>
    <s v="OK"/>
    <s v="OK"/>
    <m/>
  </r>
  <r>
    <x v="0"/>
    <s v="A24C850001285"/>
    <s v="T24C850000953 B"/>
    <x v="1"/>
    <d v="2024-08-09T00:00:00"/>
    <d v="2024-11-30T00:00:00"/>
    <n v="2024"/>
    <n v="2000000"/>
    <n v="0"/>
    <n v="2000000"/>
    <n v="0"/>
    <n v="2000000"/>
    <s v="P24C850000013"/>
    <x v="0"/>
    <s v="SEARCH"/>
    <m/>
    <m/>
    <m/>
    <m/>
    <m/>
  </r>
  <r>
    <x v="0"/>
    <s v="A24C850001291"/>
    <s v="T24C850000956"/>
    <x v="1"/>
    <d v="2024-08-12T00:00:00"/>
    <d v="2024-12-31T00:00:00"/>
    <n v="2024"/>
    <n v="1500000"/>
    <n v="0"/>
    <n v="1500000"/>
    <n v="1500000"/>
    <n v="0"/>
    <s v="P24C850000015"/>
    <x v="3"/>
    <s v="SEARCH"/>
    <m/>
    <s v="AO Agosto"/>
    <s v="OK"/>
    <s v="OK"/>
    <m/>
  </r>
  <r>
    <x v="0"/>
    <s v="A24C850001291"/>
    <s v="T24C850000956 B"/>
    <x v="1"/>
    <d v="2024-08-12T00:00:00"/>
    <d v="2024-12-31T00:00:00"/>
    <n v="2024"/>
    <n v="2500000"/>
    <n v="0"/>
    <n v="2500000"/>
    <n v="0"/>
    <n v="2500000"/>
    <s v="P24C850000015"/>
    <x v="3"/>
    <s v="SEARCH"/>
    <m/>
    <m/>
    <m/>
    <m/>
    <m/>
  </r>
  <r>
    <x v="0"/>
    <s v="A24C850001291"/>
    <s v="T24C850000956"/>
    <x v="1"/>
    <d v="2024-08-12T00:00:00"/>
    <d v="2024-12-31T00:00:00"/>
    <n v="2024"/>
    <n v="220000"/>
    <n v="0"/>
    <n v="220000"/>
    <n v="220000"/>
    <n v="0"/>
    <s v="P24C850000015"/>
    <x v="3"/>
    <s v="DISPLAY"/>
    <m/>
    <s v="AO Agosto"/>
    <s v="OK"/>
    <s v="OK"/>
    <m/>
  </r>
  <r>
    <x v="0"/>
    <s v="A24C850001291"/>
    <s v="T24C850000956 B"/>
    <x v="1"/>
    <d v="2024-08-12T00:00:00"/>
    <d v="2024-12-31T00:00:00"/>
    <n v="2024"/>
    <n v="1780000"/>
    <n v="0"/>
    <n v="1780000"/>
    <n v="0"/>
    <n v="1780000"/>
    <s v="P24C850000015"/>
    <x v="3"/>
    <s v="DISPLAY"/>
    <m/>
    <m/>
    <m/>
    <m/>
    <m/>
  </r>
  <r>
    <x v="0"/>
    <s v="A24C850001590"/>
    <s v="T24C850001139"/>
    <x v="1"/>
    <d v="2024-10-01T00:00:00"/>
    <d v="2024-12-31T00:00:00"/>
    <n v="2024"/>
    <n v="2000000"/>
    <n v="0"/>
    <n v="2000000"/>
    <n v="0"/>
    <n v="2000000"/>
    <s v="P24C850000015"/>
    <x v="3"/>
    <s v="SOCIAL ADS"/>
    <m/>
    <m/>
    <m/>
    <m/>
    <m/>
  </r>
  <r>
    <x v="0"/>
    <s v="A24C850001594"/>
    <s v="T24C850001143"/>
    <x v="1"/>
    <d v="2024-10-01T00:00:00"/>
    <d v="2024-12-31T00:00:00"/>
    <n v="2024"/>
    <n v="9500000"/>
    <n v="0"/>
    <n v="9500000"/>
    <n v="0"/>
    <n v="9500000"/>
    <s v="P24C850000014"/>
    <x v="2"/>
    <s v="SEARCH"/>
    <m/>
    <m/>
    <m/>
    <m/>
    <m/>
  </r>
  <r>
    <x v="0"/>
    <s v="A24C850001594"/>
    <s v="T24C850001143"/>
    <x v="1"/>
    <d v="2024-10-01T00:00:00"/>
    <d v="2024-12-31T00:00:00"/>
    <n v="2024"/>
    <n v="9500000"/>
    <n v="0"/>
    <n v="9500000"/>
    <n v="0"/>
    <n v="9500000"/>
    <s v="P24C850000014"/>
    <x v="2"/>
    <s v="SOCIAL ADS"/>
    <m/>
    <m/>
    <m/>
    <m/>
    <m/>
  </r>
  <r>
    <x v="0"/>
    <s v="A24C850001591"/>
    <s v="T24C850001146"/>
    <x v="1"/>
    <d v="2024-10-01T00:00:00"/>
    <d v="2024-12-31T00:00:00"/>
    <n v="2024"/>
    <n v="15000000"/>
    <n v="0"/>
    <n v="15000000"/>
    <n v="0"/>
    <n v="15000000"/>
    <s v="P24C850000012"/>
    <x v="1"/>
    <s v="SEARCH"/>
    <m/>
    <m/>
    <m/>
    <m/>
    <m/>
  </r>
  <r>
    <x v="0"/>
    <s v="A24C850001591"/>
    <s v="T24C850001146"/>
    <x v="1"/>
    <d v="2024-10-01T00:00:00"/>
    <d v="2024-12-31T00:00:00"/>
    <n v="2024"/>
    <n v="15000000"/>
    <n v="0"/>
    <n v="15000000"/>
    <n v="0"/>
    <n v="15000000"/>
    <s v="P24C850000012"/>
    <x v="1"/>
    <s v="SOCIAL ADS"/>
    <m/>
    <m/>
    <m/>
    <m/>
    <m/>
  </r>
  <r>
    <x v="0"/>
    <s v="A24C850001596"/>
    <s v="T24C850001150"/>
    <x v="1"/>
    <d v="2024-10-01T00:00:00"/>
    <d v="2024-12-31T00:00:00"/>
    <n v="2024"/>
    <n v="18000000"/>
    <n v="0"/>
    <n v="18000000"/>
    <n v="0"/>
    <n v="18000000"/>
    <s v="P24C850000013"/>
    <x v="0"/>
    <s v="SEARCH"/>
    <m/>
    <m/>
    <m/>
    <m/>
    <m/>
  </r>
  <r>
    <x v="0"/>
    <s v="A24C850001596"/>
    <s v="T24C850001150"/>
    <x v="1"/>
    <d v="2024-10-01T00:00:00"/>
    <d v="2024-12-31T00:00:00"/>
    <n v="2024"/>
    <n v="18000000"/>
    <n v="0"/>
    <n v="18000000"/>
    <n v="0"/>
    <n v="18000000"/>
    <s v="P24C850000013"/>
    <x v="0"/>
    <s v="SOCIAL ADS"/>
    <m/>
    <m/>
    <m/>
    <m/>
    <m/>
  </r>
  <r>
    <x v="0"/>
    <s v="A24C850001617"/>
    <s v="T24C850001200"/>
    <x v="1"/>
    <d v="2024-10-12T00:00:00"/>
    <d v="2024-12-31T00:00:00"/>
    <n v="2024"/>
    <n v="2000000"/>
    <n v="0"/>
    <n v="2000000"/>
    <n v="0"/>
    <n v="2000000"/>
    <s v="P24C850000013"/>
    <x v="0"/>
    <s v="DISPLAY"/>
    <m/>
    <m/>
    <m/>
    <m/>
    <m/>
  </r>
  <r>
    <x v="0"/>
    <s v="A24C850001613"/>
    <s v="T24C850001205"/>
    <x v="1"/>
    <d v="2024-10-12T00:00:00"/>
    <d v="2024-12-31T00:00:00"/>
    <n v="2024"/>
    <n v="4500000"/>
    <n v="0"/>
    <n v="4500000"/>
    <n v="0"/>
    <n v="4500000"/>
    <s v="P24C850000013"/>
    <x v="0"/>
    <s v="DISPLAY"/>
    <m/>
    <m/>
    <m/>
    <m/>
    <m/>
  </r>
  <r>
    <x v="0"/>
    <s v="A24C850001613"/>
    <s v="T24C850001205"/>
    <x v="1"/>
    <d v="2024-10-12T00:00:00"/>
    <d v="2024-12-31T00:00:00"/>
    <n v="2024"/>
    <n v="4500000"/>
    <n v="0"/>
    <n v="4500000"/>
    <n v="0"/>
    <n v="4500000"/>
    <s v="P24C850000013"/>
    <x v="0"/>
    <s v="SEARCH"/>
    <m/>
    <m/>
    <m/>
    <m/>
    <m/>
  </r>
  <r>
    <x v="0"/>
    <s v="A24C850001613"/>
    <s v="T24C850001205"/>
    <x v="1"/>
    <d v="2024-10-12T00:00:00"/>
    <d v="2024-12-31T00:00:00"/>
    <n v="2024"/>
    <n v="4500000"/>
    <n v="0"/>
    <n v="4500000"/>
    <n v="0"/>
    <n v="4500000"/>
    <s v="P24C850000013"/>
    <x v="0"/>
    <s v="SOCIAL ADS"/>
    <m/>
    <m/>
    <m/>
    <m/>
    <m/>
  </r>
  <r>
    <x v="1"/>
    <s v="A24C850000149"/>
    <s v="T24C850000092"/>
    <x v="0"/>
    <d v="2024-01-10T00:00:00"/>
    <d v="2024-03-31T00:00:00"/>
    <n v="2024"/>
    <n v="2313774"/>
    <n v="2297230"/>
    <n v="0"/>
    <n v="0"/>
    <n v="0"/>
    <s v="P24C850000013"/>
    <x v="0"/>
    <s v="SEARCH"/>
    <s v="AO Febrero"/>
    <s v="AO Febrero"/>
    <s v="OK"/>
    <s v="OK"/>
    <s v="OK"/>
  </r>
  <r>
    <x v="1"/>
    <s v="A24C850000150"/>
    <s v="T24C850000096"/>
    <x v="0"/>
    <d v="2024-01-12T00:00:00"/>
    <d v="2024-03-31T00:00:00"/>
    <n v="2024"/>
    <n v="6000000"/>
    <n v="6000000"/>
    <n v="0"/>
    <n v="0"/>
    <n v="0"/>
    <s v="P24C850000013"/>
    <x v="0"/>
    <s v="DISPLAY"/>
    <s v="Pre/Lanz S24"/>
    <s v="Pre/Lanz S24"/>
    <s v="OK"/>
    <s v="OK"/>
    <s v="OK"/>
  </r>
  <r>
    <x v="1"/>
    <s v="A24C850000150"/>
    <s v="T24C850000096"/>
    <x v="0"/>
    <d v="2024-01-12T00:00:00"/>
    <d v="2024-03-31T00:00:00"/>
    <n v="2024"/>
    <n v="20000000"/>
    <n v="20000000"/>
    <n v="0"/>
    <n v="0"/>
    <n v="0"/>
    <s v="P24C850000013"/>
    <x v="0"/>
    <s v="SOCIAL ADS"/>
    <s v="Pre/Lanz S24"/>
    <s v="Pre/Lanz S24"/>
    <s v="OK"/>
    <s v="OK"/>
    <s v="OK"/>
  </r>
  <r>
    <x v="1"/>
    <s v="A24C850000150"/>
    <s v="T24C850000096"/>
    <x v="0"/>
    <d v="2024-01-12T00:00:00"/>
    <d v="2024-03-31T00:00:00"/>
    <n v="2024"/>
    <n v="20000000"/>
    <n v="20000000"/>
    <n v="0"/>
    <n v="0"/>
    <n v="0"/>
    <s v="P24C850000013"/>
    <x v="0"/>
    <s v="SEARCH"/>
    <s v="Pre/Lanz S24"/>
    <s v="Pre/Lanz S24"/>
    <s v="OK"/>
    <s v="OK"/>
    <s v="OK"/>
  </r>
  <r>
    <x v="1"/>
    <s v="A24C850000381"/>
    <s v="T24C850000265"/>
    <x v="0"/>
    <d v="2024-02-15T00:00:00"/>
    <d v="2024-05-31T00:00:00"/>
    <n v="2024"/>
    <n v="2000000"/>
    <n v="2000000"/>
    <n v="0"/>
    <n v="0"/>
    <n v="0"/>
    <s v="P24C850000012"/>
    <x v="1"/>
    <s v="SEARCH"/>
    <s v="R Black ECO"/>
    <s v="R Black ECO"/>
    <s v="OK"/>
    <s v="OK"/>
    <s v="OK"/>
  </r>
  <r>
    <x v="1"/>
    <s v="A24C850000380"/>
    <s v="T24C850000273"/>
    <x v="0"/>
    <d v="2024-02-15T00:00:00"/>
    <d v="2024-05-31T00:00:00"/>
    <n v="2024"/>
    <n v="3000000"/>
    <n v="3000000"/>
    <n v="0"/>
    <n v="0"/>
    <n v="0"/>
    <s v="P24C850000014"/>
    <x v="2"/>
    <s v="SEARCH"/>
    <s v="R Black ECO"/>
    <s v="R Black ECO"/>
    <s v="OK"/>
    <s v="OK"/>
    <s v="OK"/>
  </r>
  <r>
    <x v="1"/>
    <s v="A24C850000517"/>
    <s v="T24C850000344"/>
    <x v="0"/>
    <d v="2024-03-12T00:00:00"/>
    <d v="2024-05-31T00:00:00"/>
    <n v="2024"/>
    <n v="2256887"/>
    <n v="2256887"/>
    <n v="0"/>
    <n v="0"/>
    <n v="0"/>
    <s v="P24C850000013"/>
    <x v="0"/>
    <s v="DISPLAY"/>
    <s v="AO Marzo"/>
    <s v="AO Marzo"/>
    <s v="OK"/>
    <s v="OK"/>
    <s v="OK"/>
  </r>
  <r>
    <x v="1"/>
    <s v="A24C850000517"/>
    <s v="T24C850000344"/>
    <x v="0"/>
    <d v="2024-03-12T00:00:00"/>
    <d v="2024-05-31T00:00:00"/>
    <n v="2024"/>
    <n v="5000000"/>
    <n v="5000000"/>
    <n v="0"/>
    <n v="0"/>
    <n v="0"/>
    <s v="P24C850000013"/>
    <x v="0"/>
    <s v="SEARCH"/>
    <s v="AO Marzo"/>
    <s v="AO Marzo"/>
    <s v="OK"/>
    <s v="OK"/>
    <s v="OK"/>
  </r>
  <r>
    <x v="1"/>
    <s v="A24C850000623"/>
    <s v="T24C850000404"/>
    <x v="0"/>
    <d v="2024-03-27T00:00:00"/>
    <d v="2024-05-31T00:00:00"/>
    <n v="2024"/>
    <n v="3000000"/>
    <n v="3000000"/>
    <n v="0"/>
    <n v="0"/>
    <n v="0"/>
    <s v="P24C850000015"/>
    <x v="3"/>
    <s v="SEARCH"/>
    <s v="Galaxy Fit 3"/>
    <s v="Galaxy Fit 3"/>
    <s v="OK"/>
    <s v="OK"/>
    <s v="OK"/>
  </r>
  <r>
    <x v="1"/>
    <s v="A24C850000623"/>
    <s v="T24C850000404"/>
    <x v="0"/>
    <d v="2024-03-27T00:00:00"/>
    <d v="2024-05-31T00:00:00"/>
    <n v="2024"/>
    <n v="2000000"/>
    <n v="2000000"/>
    <n v="0"/>
    <n v="0"/>
    <n v="0"/>
    <s v="P24C850000015"/>
    <x v="3"/>
    <s v="DISPLAY"/>
    <s v="R Black ECO"/>
    <s v="R Black ECO"/>
    <s v="OK"/>
    <s v="OK"/>
    <s v="OK"/>
  </r>
  <r>
    <x v="1"/>
    <s v="A24C850000531"/>
    <s v="T24C850000361"/>
    <x v="0"/>
    <d v="2024-04-01T00:00:00"/>
    <d v="2024-06-30T00:00:00"/>
    <n v="2024"/>
    <n v="2256887"/>
    <n v="2227900"/>
    <n v="0"/>
    <n v="0"/>
    <n v="0"/>
    <s v="P24C850000013"/>
    <x v="0"/>
    <s v="DISPLAY"/>
    <s v="AO Abril"/>
    <s v="AO Abril"/>
    <s v="OK"/>
    <s v="OK"/>
    <s v="OK"/>
  </r>
  <r>
    <x v="1"/>
    <s v="A24C850000531"/>
    <s v="T24C850000361"/>
    <x v="0"/>
    <d v="2024-04-01T00:00:00"/>
    <d v="2024-06-30T00:00:00"/>
    <n v="2024"/>
    <n v="5000000"/>
    <n v="5000000"/>
    <n v="0"/>
    <n v="0"/>
    <n v="0"/>
    <s v="P24C850000013"/>
    <x v="0"/>
    <s v="SEARCH"/>
    <s v="AO Abril"/>
    <s v="AO Abril"/>
    <s v="OK"/>
    <s v="OK"/>
    <s v="OK"/>
  </r>
  <r>
    <x v="1"/>
    <s v="A24C850000712"/>
    <s v="T24C850000511"/>
    <x v="0"/>
    <d v="2024-04-03T00:00:00"/>
    <d v="2024-07-31T00:00:00"/>
    <n v="2024"/>
    <n v="4000000"/>
    <n v="3966266"/>
    <n v="0"/>
    <n v="0"/>
    <n v="0"/>
    <s v="P24C850000013"/>
    <x v="0"/>
    <s v="DISPLAY"/>
    <s v="A25/A55"/>
    <s v="A25/A55"/>
    <s v="OK"/>
    <s v="OK"/>
    <s v="OK"/>
  </r>
  <r>
    <x v="1"/>
    <s v="A24C850000712"/>
    <s v="T24C850000511"/>
    <x v="0"/>
    <d v="2024-04-03T00:00:00"/>
    <d v="2024-07-31T00:00:00"/>
    <n v="2024"/>
    <n v="3000000"/>
    <n v="3000000"/>
    <n v="0"/>
    <n v="0"/>
    <n v="0"/>
    <s v="P24C850000013"/>
    <x v="0"/>
    <s v="SOCIAL ADS"/>
    <s v="A25/A55"/>
    <s v="A25/A55"/>
    <s v="OK"/>
    <s v="OK"/>
    <s v="OK"/>
  </r>
  <r>
    <x v="1"/>
    <s v="A24C850000712"/>
    <s v="T24C850000511"/>
    <x v="0"/>
    <d v="2024-04-03T00:00:00"/>
    <d v="2024-07-31T00:00:00"/>
    <n v="2024"/>
    <n v="7000000"/>
    <n v="7000000"/>
    <n v="0"/>
    <n v="0"/>
    <n v="0"/>
    <s v="P24C850000013"/>
    <x v="0"/>
    <s v="SEARCH"/>
    <s v="A25/A55"/>
    <s v="A25/A55"/>
    <s v="OK"/>
    <s v="OK"/>
    <s v="OK"/>
  </r>
  <r>
    <x v="1"/>
    <s v="A24C850000813"/>
    <s v="T24C850000550"/>
    <x v="0"/>
    <d v="2024-04-22T00:00:00"/>
    <d v="2024-06-30T00:00:00"/>
    <n v="2024"/>
    <n v="1000000"/>
    <n v="892130"/>
    <n v="0"/>
    <n v="0"/>
    <n v="0"/>
    <s v="P24C850000013"/>
    <x v="0"/>
    <s v="DISPLAY"/>
    <s v="Galaxy Week"/>
    <s v="Galaxy Week"/>
    <s v="OK"/>
    <s v="OK"/>
    <s v="OK"/>
  </r>
  <r>
    <x v="1"/>
    <s v="A24C850000813"/>
    <s v="T24C850000550"/>
    <x v="0"/>
    <d v="2024-04-22T00:00:00"/>
    <d v="2024-06-30T00:00:00"/>
    <n v="2024"/>
    <n v="3000000"/>
    <n v="3000000"/>
    <n v="0"/>
    <n v="0"/>
    <n v="0"/>
    <s v="P24C850000013"/>
    <x v="0"/>
    <s v="SEARCH"/>
    <s v="Galaxy Week"/>
    <s v="Galaxy Week"/>
    <s v="OK"/>
    <s v="OK"/>
    <s v="OK"/>
  </r>
  <r>
    <x v="1"/>
    <s v="A24C850000789"/>
    <s v="T24C850000570"/>
    <x v="0"/>
    <d v="2024-04-26T00:00:00"/>
    <d v="2024-06-30T00:00:00"/>
    <n v="2024"/>
    <n v="12500000"/>
    <n v="12500000"/>
    <n v="0"/>
    <n v="0"/>
    <n v="0"/>
    <s v="P24C850000014"/>
    <x v="2"/>
    <s v="SEARCH"/>
    <m/>
    <m/>
    <s v="OK"/>
    <s v="OK"/>
    <s v="OK"/>
  </r>
  <r>
    <x v="1"/>
    <s v="A24C850000790"/>
    <s v="T24C850000572"/>
    <x v="0"/>
    <d v="2024-04-26T00:00:00"/>
    <d v="2024-06-30T00:00:00"/>
    <n v="2024"/>
    <n v="13252922"/>
    <n v="13252922"/>
    <n v="0"/>
    <n v="0"/>
    <n v="0"/>
    <s v="P24C850000014"/>
    <x v="2"/>
    <s v="DISPLAY"/>
    <m/>
    <m/>
    <s v="OK"/>
    <s v="OK"/>
    <s v="OK"/>
  </r>
  <r>
    <x v="1"/>
    <s v="A24C850000539"/>
    <s v="T24C850000359"/>
    <x v="0"/>
    <d v="2024-05-01T00:00:00"/>
    <d v="2024-07-31T00:00:00"/>
    <n v="2024"/>
    <n v="2256887"/>
    <n v="0"/>
    <n v="2256887"/>
    <n v="2256887"/>
    <n v="0"/>
    <s v="P24C850000013"/>
    <x v="0"/>
    <s v="DISPLAY"/>
    <s v="AO Mayo"/>
    <s v="AO Mayo"/>
    <s v="OK"/>
    <s v="OK"/>
    <s v="OK"/>
  </r>
  <r>
    <x v="1"/>
    <s v="A24C850000539"/>
    <s v="T24C850000359"/>
    <x v="0"/>
    <d v="2024-05-01T00:00:00"/>
    <d v="2024-07-31T00:00:00"/>
    <n v="2024"/>
    <n v="1978429"/>
    <n v="0"/>
    <n v="1978429"/>
    <n v="1978429"/>
    <n v="0"/>
    <s v="P24C850000013"/>
    <x v="0"/>
    <s v="SEARCH"/>
    <s v="AO Mayo"/>
    <s v="AO Mayo"/>
    <s v="OK"/>
    <s v="OK"/>
    <s v="OK"/>
  </r>
  <r>
    <x v="1"/>
    <s v="A24C850000539"/>
    <s v="T24C850000359 B"/>
    <x v="0"/>
    <d v="2024-05-01T00:00:00"/>
    <d v="2024-07-31T00:00:00"/>
    <n v="2024"/>
    <n v="3021571"/>
    <n v="0"/>
    <n v="3021571"/>
    <n v="3021571"/>
    <n v="0"/>
    <s v="P24C850000013"/>
    <x v="0"/>
    <s v="SEARCH"/>
    <s v="Cyber pt1"/>
    <s v="Cyber pt1"/>
    <s v="OK"/>
    <s v="OK"/>
    <s v="OK"/>
  </r>
  <r>
    <x v="1"/>
    <s v="A24C850000877"/>
    <s v="T24C850000630"/>
    <x v="0"/>
    <d v="2024-05-15T00:00:00"/>
    <d v="2024-08-31T00:00:00"/>
    <n v="2024"/>
    <n v="2000000"/>
    <n v="0"/>
    <n v="2000000"/>
    <n v="2000000"/>
    <n v="0"/>
    <s v="P24C850000012"/>
    <x v="1"/>
    <s v="DISPLAY"/>
    <s v="Cyber ECO"/>
    <s v="Cyber ECO"/>
    <s v="OK"/>
    <s v="OK"/>
    <s v="OK"/>
  </r>
  <r>
    <x v="1"/>
    <s v="A24C850000877"/>
    <s v="T24C850000630 B"/>
    <x v="0"/>
    <d v="2024-05-15T00:00:00"/>
    <d v="2024-08-31T00:00:00"/>
    <n v="2024"/>
    <n v="921641"/>
    <n v="0"/>
    <n v="921641"/>
    <n v="921641"/>
    <n v="0"/>
    <s v="P24C850000012"/>
    <x v="1"/>
    <s v="DISPLAY"/>
    <s v="AO JULIO NPC-TAB"/>
    <s v="AO JULIO NPC-TAB"/>
    <s v="OK"/>
    <s v="OK"/>
    <s v="OK"/>
  </r>
  <r>
    <x v="1"/>
    <s v="A24C850000877"/>
    <s v="T24C850000630 C"/>
    <x v="0"/>
    <d v="2024-05-15T00:00:00"/>
    <d v="2024-08-31T00:00:00"/>
    <n v="2024"/>
    <n v="78359"/>
    <n v="0"/>
    <n v="78359"/>
    <n v="78359"/>
    <n v="0"/>
    <s v="P24C850000012"/>
    <x v="1"/>
    <s v="DISPLAY"/>
    <s v="AI WEEK NPC-TAB"/>
    <s v="AI WEEK NPC-TAB"/>
    <s v="OK"/>
    <s v="OK"/>
    <s v="OK"/>
  </r>
  <r>
    <x v="1"/>
    <s v="A24C850000877"/>
    <s v="T24C850000630"/>
    <x v="0"/>
    <d v="2024-05-15T00:00:00"/>
    <d v="2024-08-31T00:00:00"/>
    <n v="2024"/>
    <n v="2982315"/>
    <n v="0"/>
    <n v="2982315"/>
    <n v="2982315"/>
    <n v="0"/>
    <s v="P24C850000012"/>
    <x v="1"/>
    <s v="SEARCH"/>
    <s v="Cyber ECO"/>
    <s v="Cyber ECO"/>
    <s v="OK"/>
    <s v="OK"/>
    <s v="OK"/>
  </r>
  <r>
    <x v="1"/>
    <s v="A24C850000877"/>
    <s v="T24C850000630 B"/>
    <x v="0"/>
    <d v="2024-05-15T00:00:00"/>
    <d v="2024-08-31T00:00:00"/>
    <n v="2024"/>
    <n v="1000000"/>
    <n v="0"/>
    <n v="1000000"/>
    <n v="1000000"/>
    <n v="0"/>
    <s v="P24C850000012"/>
    <x v="1"/>
    <s v="SEARCH"/>
    <s v="AO JULIO NPC-TAB"/>
    <s v="AO JULIO NPC-TAB"/>
    <s v="OK"/>
    <s v="OK"/>
    <s v="OK"/>
  </r>
  <r>
    <x v="1"/>
    <s v="A24C850000877"/>
    <s v="T24C850000630 C"/>
    <x v="0"/>
    <d v="2024-05-15T00:00:00"/>
    <d v="2024-08-31T00:00:00"/>
    <n v="2024"/>
    <n v="17685"/>
    <n v="0"/>
    <n v="17685"/>
    <n v="17685"/>
    <n v="0"/>
    <s v="P24C850000012"/>
    <x v="1"/>
    <s v="SEARCH"/>
    <s v="AI WEEK NPC-TAB"/>
    <s v="AI WEEK NPC-TAB"/>
    <s v="OK"/>
    <s v="OK"/>
    <s v="OK"/>
  </r>
  <r>
    <x v="1"/>
    <s v="A24C850000881"/>
    <s v="T24C850000647"/>
    <x v="0"/>
    <d v="2024-05-25T00:00:00"/>
    <d v="2024-08-31T00:00:00"/>
    <n v="2024"/>
    <n v="2000000"/>
    <n v="0"/>
    <n v="2000000"/>
    <n v="2000000"/>
    <n v="0"/>
    <s v="P24C850000015"/>
    <x v="3"/>
    <s v="SEARCH"/>
    <s v="Cyber ECO"/>
    <s v="Cyber ECO"/>
    <s v="OK"/>
    <s v="OK"/>
    <s v="OK"/>
  </r>
  <r>
    <x v="1"/>
    <s v="A24C850000931"/>
    <s v="T24C850000677"/>
    <x v="0"/>
    <d v="2024-05-30T00:00:00"/>
    <d v="2024-06-30T00:00:00"/>
    <n v="2024"/>
    <n v="1000000"/>
    <n v="0"/>
    <n v="1000000"/>
    <n v="1000000"/>
    <n v="0"/>
    <s v="P24C850000014"/>
    <x v="2"/>
    <s v="DISPLAY"/>
    <s v="Cyber ECO"/>
    <s v="Cyber ECO"/>
    <s v="OK"/>
    <s v="OK"/>
    <s v="OK"/>
  </r>
  <r>
    <x v="1"/>
    <s v="A24C850000931"/>
    <s v="T24C850000677"/>
    <x v="0"/>
    <d v="2024-05-30T00:00:00"/>
    <d v="2024-06-30T00:00:00"/>
    <n v="2024"/>
    <n v="2000000"/>
    <n v="0"/>
    <n v="2000000"/>
    <n v="2000000"/>
    <n v="0"/>
    <s v="P24C850000014"/>
    <x v="2"/>
    <s v="SEARCH"/>
    <s v="Cyber ECO"/>
    <s v="Cyber ECO"/>
    <s v="OK"/>
    <s v="OK"/>
    <s v="OK"/>
  </r>
  <r>
    <x v="1"/>
    <s v="A24C850000882"/>
    <s v="T24C850000612"/>
    <x v="0"/>
    <d v="2024-06-01T00:00:00"/>
    <d v="2024-08-31T00:00:00"/>
    <n v="2024"/>
    <n v="1000000"/>
    <n v="0"/>
    <n v="1000000"/>
    <n v="1000000"/>
    <n v="0"/>
    <s v="P24C850000014"/>
    <x v="2"/>
    <s v="DISPLAY"/>
    <s v="AO JULIO NPC-TAB"/>
    <s v="AO JULIO NPC-TAB"/>
    <s v="OK"/>
    <s v="OK"/>
    <s v="OK"/>
  </r>
  <r>
    <x v="1"/>
    <s v="A24C850000882"/>
    <s v="T24C850000612"/>
    <x v="0"/>
    <d v="2024-06-01T00:00:00"/>
    <d v="2024-08-31T00:00:00"/>
    <n v="2024"/>
    <n v="2000000"/>
    <n v="0"/>
    <n v="2000000"/>
    <n v="2000000"/>
    <n v="0"/>
    <s v="P24C850000014"/>
    <x v="2"/>
    <s v="SEARCH"/>
    <s v="AO JULIO NPC-TAB"/>
    <s v="AO JULIO NPC-TAB"/>
    <s v="OK"/>
    <s v="OK"/>
    <s v="OK"/>
  </r>
  <r>
    <x v="1"/>
    <s v="A24C850000874"/>
    <s v="T24C850000616"/>
    <x v="0"/>
    <d v="2024-06-01T00:00:00"/>
    <d v="2024-08-31T00:00:00"/>
    <n v="2024"/>
    <n v="2000000"/>
    <n v="0"/>
    <n v="2000000"/>
    <n v="2000000"/>
    <n v="0"/>
    <s v="P24C850000013"/>
    <x v="0"/>
    <s v="DISPLAY"/>
    <s v="Cyber pt2"/>
    <s v="Cyber pt2"/>
    <s v="OK"/>
    <s v="OK"/>
    <s v="OK"/>
  </r>
  <r>
    <x v="1"/>
    <s v="A24C850000874"/>
    <s v="T24C850000616 C "/>
    <x v="0"/>
    <d v="2024-06-01T00:00:00"/>
    <d v="2024-08-31T00:00:00"/>
    <n v="2024"/>
    <n v="1000000"/>
    <n v="0"/>
    <n v="1000000"/>
    <n v="1000000"/>
    <n v="0"/>
    <s v="P24C850000013"/>
    <x v="0"/>
    <s v="DISPLAY"/>
    <s v="AO Julio / GW / AW"/>
    <s v="AO Julio / GW / AW"/>
    <s v="OK"/>
    <s v="OK"/>
    <s v="OK"/>
  </r>
  <r>
    <x v="1"/>
    <s v="A24C850000874"/>
    <s v="T24C850000616"/>
    <x v="0"/>
    <d v="2024-06-01T00:00:00"/>
    <d v="2024-08-31T00:00:00"/>
    <n v="2024"/>
    <n v="2978429"/>
    <n v="0"/>
    <n v="2978429"/>
    <n v="2978429"/>
    <n v="0"/>
    <s v="P24C850000013"/>
    <x v="0"/>
    <s v="SEARCH"/>
    <s v="Cyber pt2"/>
    <s v="Cyber pt2"/>
    <s v="OK"/>
    <s v="OK"/>
    <s v="OK"/>
  </r>
  <r>
    <x v="1"/>
    <s v="A24C850000874"/>
    <s v="T24C850000616 B"/>
    <x v="0"/>
    <d v="2024-06-01T00:00:00"/>
    <d v="2024-08-31T00:00:00"/>
    <n v="2024"/>
    <n v="1900000"/>
    <n v="0"/>
    <n v="1900000"/>
    <n v="1900000"/>
    <n v="0"/>
    <s v="P24C850000013"/>
    <x v="0"/>
    <s v="SEARCH"/>
    <s v="AO Junio"/>
    <s v="AO Junio"/>
    <s v="OK"/>
    <s v="OK"/>
    <s v="OK"/>
  </r>
  <r>
    <x v="1"/>
    <s v="A24C850000874"/>
    <s v="T24C850000616 C "/>
    <x v="0"/>
    <d v="2024-06-01T00:00:00"/>
    <d v="2024-08-31T00:00:00"/>
    <n v="2024"/>
    <n v="121571"/>
    <n v="0"/>
    <n v="121571"/>
    <n v="121571"/>
    <n v="0"/>
    <s v="P24C850000013"/>
    <x v="0"/>
    <s v="SEARCH"/>
    <s v="AO Julio / GW / AW"/>
    <s v="AO Julio / GW / AW"/>
    <s v="OK"/>
    <s v="OK"/>
    <s v="OK"/>
  </r>
  <r>
    <x v="1"/>
    <s v="A24C850001114"/>
    <s v="T24C850000803"/>
    <x v="0"/>
    <d v="2024-06-30T00:00:00"/>
    <d v="2024-09-30T00:00:00"/>
    <n v="2024"/>
    <n v="3000000"/>
    <n v="0"/>
    <n v="3000000"/>
    <n v="3000000"/>
    <n v="0"/>
    <s v="P24C850000013"/>
    <x v="0"/>
    <s v="SEARCH"/>
    <s v="AO Julio / GW / AW"/>
    <s v="AO Julio / GW / AW"/>
    <s v="OK"/>
    <s v="OK"/>
    <s v="OK"/>
  </r>
  <r>
    <x v="1"/>
    <s v="A24C850001114"/>
    <s v="T24C850000803"/>
    <x v="0"/>
    <d v="2024-06-30T00:00:00"/>
    <d v="2024-09-30T00:00:00"/>
    <n v="2024"/>
    <n v="2500000"/>
    <n v="0"/>
    <n v="2500000"/>
    <n v="2500000"/>
    <n v="0"/>
    <s v="P24C850000013"/>
    <x v="0"/>
    <s v="SOCIAL ADS"/>
    <s v="AO Julio / GW / AW"/>
    <s v="AO Julio / GW / AW"/>
    <s v="OK"/>
    <s v="OK"/>
    <s v="OK"/>
  </r>
  <r>
    <x v="1"/>
    <s v="A24C850001111"/>
    <s v="T24C850000808"/>
    <x v="0"/>
    <d v="2024-06-30T00:00:00"/>
    <d v="2024-09-30T00:00:00"/>
    <n v="2024"/>
    <n v="1378430"/>
    <n v="0"/>
    <n v="1378430"/>
    <n v="1378430"/>
    <n v="0"/>
    <s v="P24C850000013"/>
    <x v="0"/>
    <s v="SEARCH"/>
    <s v="AO Julio / GW / AW"/>
    <s v="AO Julio / GW / AW"/>
    <s v="OK"/>
    <s v="OK"/>
    <s v="OK"/>
  </r>
  <r>
    <x v="1"/>
    <s v="A24C850001111"/>
    <s v="T24C850000808"/>
    <x v="0"/>
    <d v="2024-06-30T00:00:00"/>
    <d v="2024-09-30T00:00:00"/>
    <n v="2024"/>
    <n v="2621570"/>
    <n v="0"/>
    <n v="0"/>
    <n v="0"/>
    <n v="0"/>
    <s v="P24C850000013"/>
    <x v="0"/>
    <s v="SEARCH"/>
    <s v="AO Julio / GW / AW"/>
    <s v="AO Julio / GW / AW"/>
    <s v="OK"/>
    <s v="OK"/>
    <s v="OK"/>
  </r>
  <r>
    <x v="1"/>
    <s v="A24C850001111"/>
    <s v="T24C850000808"/>
    <x v="0"/>
    <d v="2024-06-30T00:00:00"/>
    <d v="2024-09-30T00:00:00"/>
    <n v="2024"/>
    <n v="4000000"/>
    <n v="0"/>
    <n v="4000000"/>
    <n v="0"/>
    <n v="0"/>
    <s v="P24C850000013"/>
    <x v="0"/>
    <s v="SOCIAL ADS"/>
    <s v="AO Julio / GW / AW"/>
    <s v="AO Julio / GW / AW"/>
    <s v="OK"/>
    <s v="OK"/>
    <s v="OK"/>
  </r>
  <r>
    <x v="1"/>
    <s v="A24C850001174"/>
    <s v="T24C850000873"/>
    <x v="1"/>
    <d v="2024-07-12T00:00:00"/>
    <d v="2024-09-30T00:00:00"/>
    <n v="2024"/>
    <n v="3000000"/>
    <n v="0"/>
    <n v="3000000"/>
    <n v="3000000"/>
    <n v="0"/>
    <s v="P24C850000015"/>
    <x v="3"/>
    <s v="SEARCH"/>
    <m/>
    <s v="Watch 7 Pendiente"/>
    <s v="Pendiente"/>
    <s v="Pendiente"/>
    <s v="Pendiente"/>
  </r>
  <r>
    <x v="1"/>
    <s v="A24C850001174"/>
    <s v="T24C850000873"/>
    <x v="1"/>
    <d v="2024-07-12T00:00:00"/>
    <d v="2024-09-30T00:00:00"/>
    <n v="2024"/>
    <n v="2000000"/>
    <n v="0"/>
    <n v="2000000"/>
    <n v="2000000"/>
    <n v="0"/>
    <s v="P24C850000015"/>
    <x v="3"/>
    <s v="DISPLAY"/>
    <m/>
    <s v="Watch 7 Pendiente"/>
    <s v="Pendiente"/>
    <s v="Pendiente"/>
    <s v="Pendiente"/>
  </r>
  <r>
    <x v="1"/>
    <s v="A24C850001165"/>
    <s v="T24C850000878"/>
    <x v="0"/>
    <d v="2024-07-12T00:00:00"/>
    <d v="2024-09-30T00:00:00"/>
    <n v="2024"/>
    <n v="903956"/>
    <n v="0"/>
    <n v="903956"/>
    <n v="903956"/>
    <n v="0"/>
    <s v="P24C850000014"/>
    <x v="2"/>
    <s v="DISPLAY"/>
    <s v="AO JULIO NPC-TAB"/>
    <s v="Watch 7 Pendiente"/>
    <s v="OK"/>
    <s v="OK"/>
    <s v="OK"/>
  </r>
  <r>
    <x v="1"/>
    <s v="A24C850001165"/>
    <s v="T24C850000878 B"/>
    <x v="0"/>
    <d v="2024-07-12T00:00:00"/>
    <d v="2024-09-30T00:00:00"/>
    <n v="2024"/>
    <n v="1096044"/>
    <n v="0"/>
    <n v="1096044"/>
    <n v="1096044"/>
    <n v="0"/>
    <s v="P24C850000014"/>
    <x v="2"/>
    <s v="DISPLAY"/>
    <s v="AO AGOSTO NPC-TAB"/>
    <s v="AO AGOSTO NPC-TAB"/>
    <s v="OK"/>
    <s v="OK"/>
    <s v="OK"/>
  </r>
  <r>
    <x v="1"/>
    <s v="A24C850001165"/>
    <s v="T24C850000878"/>
    <x v="0"/>
    <d v="2024-07-12T00:00:00"/>
    <d v="2024-09-30T00:00:00"/>
    <n v="2024"/>
    <n v="1000000"/>
    <n v="0"/>
    <n v="1000000"/>
    <n v="1000000"/>
    <n v="0"/>
    <s v="P24C850000014"/>
    <x v="2"/>
    <s v="SEARCH"/>
    <s v="AO JULIO NPC-TAB"/>
    <s v="AO JULIO NPC-TAB"/>
    <s v="OK"/>
    <s v="OK"/>
    <s v="OK"/>
  </r>
  <r>
    <x v="1"/>
    <s v="A24C850001165"/>
    <s v="T24C850000878 B"/>
    <x v="0"/>
    <d v="2024-07-12T00:00:00"/>
    <d v="2024-09-30T00:00:00"/>
    <n v="2024"/>
    <n v="2000000"/>
    <n v="0"/>
    <n v="2000000"/>
    <n v="2000000"/>
    <n v="0"/>
    <s v="P24C850000014"/>
    <x v="2"/>
    <s v="SEARCH"/>
    <s v="AO AGOSTO NPC-TAB"/>
    <s v="AO AGOSTO NPC-TAB"/>
    <s v="OK"/>
    <s v="OK"/>
    <s v="OK"/>
  </r>
  <r>
    <x v="1"/>
    <s v="A24C850001149"/>
    <s v="T24C850000879"/>
    <x v="0"/>
    <d v="2024-07-12T00:00:00"/>
    <d v="2024-09-30T00:00:00"/>
    <n v="2024"/>
    <n v="2000000"/>
    <n v="0"/>
    <n v="2000000"/>
    <n v="2000000"/>
    <n v="0"/>
    <s v="P24C850000013"/>
    <x v="0"/>
    <s v="DISPLAY"/>
    <s v="AO Julio / GW / AW"/>
    <s v="AO Julio / GW / AW"/>
    <s v="OK"/>
    <s v="OK"/>
    <s v="OK"/>
  </r>
  <r>
    <x v="1"/>
    <s v="A24C850001149"/>
    <s v="T24C850000879"/>
    <x v="0"/>
    <d v="2024-07-12T00:00:00"/>
    <d v="2024-09-30T00:00:00"/>
    <n v="2024"/>
    <n v="5000000"/>
    <n v="0"/>
    <n v="5000000"/>
    <n v="5000000"/>
    <n v="0"/>
    <s v="P24C850000013"/>
    <x v="0"/>
    <s v="SEARCH"/>
    <s v="AO Julio / GW / AW"/>
    <s v="AO Julio / GW / AW"/>
    <s v="OK"/>
    <s v="OK"/>
    <s v="OK"/>
  </r>
  <r>
    <x v="1"/>
    <s v="A24C850001266"/>
    <s v="T24C850000944"/>
    <x v="1"/>
    <d v="2024-08-09T00:00:00"/>
    <d v="2024-11-30T00:00:00"/>
    <n v="2024"/>
    <n v="428016"/>
    <n v="0"/>
    <n v="428016"/>
    <n v="428016"/>
    <n v="0"/>
    <s v="P24C850000014"/>
    <x v="2"/>
    <s v="DISPLAY"/>
    <m/>
    <s v="AO AGOSTO NPC-TAB"/>
    <s v="OK"/>
    <s v="OK"/>
    <m/>
  </r>
  <r>
    <x v="1"/>
    <s v="A24C850001266"/>
    <s v="T24C850000944"/>
    <x v="1"/>
    <d v="2024-07-12T00:00:00"/>
    <d v="2024-09-30T00:00:00"/>
    <n v="2024"/>
    <n v="4071984"/>
    <n v="0"/>
    <n v="4071984"/>
    <n v="0"/>
    <n v="4071984"/>
    <s v="P24C850000014"/>
    <x v="2"/>
    <s v="DISPLAY"/>
    <m/>
    <m/>
    <m/>
    <m/>
    <m/>
  </r>
  <r>
    <x v="1"/>
    <s v="A24C850001266"/>
    <s v="T24C850000944"/>
    <x v="1"/>
    <d v="2024-08-09T00:00:00"/>
    <d v="2024-11-30T00:00:00"/>
    <n v="2024"/>
    <n v="1000000"/>
    <n v="0"/>
    <n v="1000000"/>
    <n v="1000000"/>
    <n v="0"/>
    <s v="P24C850000014"/>
    <x v="2"/>
    <s v="SEARCH"/>
    <m/>
    <s v="AO AGOSTO NPC-TAB"/>
    <s v="OK"/>
    <s v="OK"/>
    <m/>
  </r>
  <r>
    <x v="1"/>
    <s v="A24C850001266"/>
    <s v="T24C850000944"/>
    <x v="1"/>
    <d v="2024-07-12T00:00:00"/>
    <d v="2024-09-30T00:00:00"/>
    <n v="2024"/>
    <n v="4500000"/>
    <n v="0"/>
    <n v="4500000"/>
    <n v="0"/>
    <n v="4500000"/>
    <s v="P24C850000014"/>
    <x v="2"/>
    <s v="SEARCH"/>
    <m/>
    <m/>
    <m/>
    <m/>
    <m/>
  </r>
  <r>
    <x v="1"/>
    <s v="A24C850001283"/>
    <s v="T24C850000954"/>
    <x v="1"/>
    <d v="2024-08-09T00:00:00"/>
    <d v="2024-11-30T00:00:00"/>
    <n v="2024"/>
    <n v="3000000"/>
    <n v="0"/>
    <n v="3000000"/>
    <n v="3000000"/>
    <n v="0"/>
    <s v="P24C850000013"/>
    <x v="0"/>
    <s v="DISPLAY"/>
    <m/>
    <s v="AO Agosto +GW"/>
    <s v="OK"/>
    <s v="OK"/>
    <m/>
  </r>
  <r>
    <x v="1"/>
    <s v="A24C850001283"/>
    <s v="T24C850000954"/>
    <x v="1"/>
    <d v="2024-07-12T00:00:00"/>
    <d v="2024-09-30T00:00:00"/>
    <n v="2024"/>
    <n v="2000000"/>
    <n v="0"/>
    <n v="2000000"/>
    <n v="0"/>
    <n v="2000000"/>
    <s v="P24C850000013"/>
    <x v="0"/>
    <s v="DISPLAY"/>
    <m/>
    <m/>
    <m/>
    <m/>
    <m/>
  </r>
  <r>
    <x v="1"/>
    <s v="A24C850001283"/>
    <s v="T24C850000954"/>
    <x v="1"/>
    <d v="2024-08-09T00:00:00"/>
    <d v="2024-11-30T00:00:00"/>
    <n v="2024"/>
    <n v="5000000"/>
    <n v="0"/>
    <n v="5000000"/>
    <n v="5000000"/>
    <n v="0"/>
    <s v="P24C850000013"/>
    <x v="0"/>
    <s v="SEARCH"/>
    <m/>
    <s v="AO Agosto +GW"/>
    <s v="OK"/>
    <s v="OK"/>
    <m/>
  </r>
  <r>
    <x v="1"/>
    <s v="A24C850001283"/>
    <s v="T24C850000954"/>
    <x v="1"/>
    <d v="2024-07-12T00:00:00"/>
    <d v="2024-09-30T00:00:00"/>
    <n v="2024"/>
    <n v="2000000"/>
    <n v="0"/>
    <n v="2000000"/>
    <n v="0"/>
    <n v="2000000"/>
    <s v="P24C850000013"/>
    <x v="0"/>
    <s v="SEARCH"/>
    <m/>
    <m/>
    <m/>
    <m/>
    <m/>
  </r>
  <r>
    <x v="1"/>
    <s v="A24C850001290"/>
    <s v="T24C850000957"/>
    <x v="1"/>
    <d v="2024-08-12T00:00:00"/>
    <d v="2024-12-31T00:00:00"/>
    <n v="2024"/>
    <n v="1492847"/>
    <n v="0"/>
    <n v="1492847"/>
    <n v="1492847"/>
    <n v="0"/>
    <s v="P24C850000015"/>
    <x v="3"/>
    <s v="SEARCH"/>
    <m/>
    <s v="AO AGOSTO"/>
    <s v="OK"/>
    <s v="OK"/>
    <m/>
  </r>
  <r>
    <x v="1"/>
    <s v="A24C850001290"/>
    <s v="T24C850000957"/>
    <x v="1"/>
    <d v="2024-07-12T00:00:00"/>
    <d v="2024-09-30T00:00:00"/>
    <n v="2024"/>
    <n v="2507153"/>
    <n v="0"/>
    <n v="2507153"/>
    <n v="0"/>
    <n v="2507153"/>
    <s v="P24C850000015"/>
    <x v="3"/>
    <s v="SEARCH"/>
    <m/>
    <m/>
    <m/>
    <m/>
    <m/>
  </r>
  <r>
    <x v="1"/>
    <s v="A24C850001290"/>
    <s v="T24C850000957"/>
    <x v="1"/>
    <d v="2024-08-12T00:00:00"/>
    <d v="2024-12-31T00:00:00"/>
    <n v="2024"/>
    <n v="1500000"/>
    <n v="0"/>
    <n v="1500000"/>
    <m/>
    <n v="1500000"/>
    <s v="P24C850000015"/>
    <x v="3"/>
    <s v="DISPLAY"/>
    <m/>
    <m/>
    <m/>
    <m/>
    <m/>
  </r>
  <r>
    <x v="1"/>
    <s v="A24C850001341"/>
    <s v="T24C850000979"/>
    <x v="1"/>
    <d v="2024-08-23T00:00:00"/>
    <d v="2024-11-30T00:00:00"/>
    <n v="2024"/>
    <n v="2000000"/>
    <n v="0"/>
    <n v="2000000"/>
    <n v="0"/>
    <n v="2000000"/>
    <s v="P24C850000012"/>
    <x v="1"/>
    <s v="DISPLAY"/>
    <m/>
    <m/>
    <m/>
    <m/>
    <m/>
  </r>
  <r>
    <x v="1"/>
    <s v="A24C850001341"/>
    <s v="T24C850000979"/>
    <x v="1"/>
    <d v="2024-08-23T00:00:00"/>
    <d v="2024-11-30T00:00:00"/>
    <n v="2024"/>
    <n v="3000000"/>
    <n v="0"/>
    <n v="3000000"/>
    <n v="0"/>
    <n v="3000000"/>
    <s v="P24C850000012"/>
    <x v="1"/>
    <s v="SEARCH"/>
    <m/>
    <m/>
    <m/>
    <m/>
    <m/>
  </r>
  <r>
    <x v="1"/>
    <s v="A24C850001590"/>
    <s v="T24C850001140"/>
    <x v="1"/>
    <d v="2024-10-01T00:00:00"/>
    <d v="2024-12-31T00:00:00"/>
    <n v="2024"/>
    <n v="1500000"/>
    <n v="0"/>
    <n v="1500000"/>
    <n v="0"/>
    <n v="1500000"/>
    <s v="P24C850000015"/>
    <x v="3"/>
    <s v="SOCIAL ADS"/>
    <m/>
    <m/>
    <m/>
    <m/>
    <m/>
  </r>
  <r>
    <x v="1"/>
    <s v="A24C850001594"/>
    <s v="T24C850001145"/>
    <x v="1"/>
    <d v="2024-10-01T00:00:00"/>
    <d v="2024-12-31T00:00:00"/>
    <n v="2024"/>
    <n v="8300000"/>
    <n v="0"/>
    <n v="8300000"/>
    <n v="0"/>
    <n v="8300000"/>
    <s v="P24C850000014"/>
    <x v="2"/>
    <s v="SEARCH"/>
    <m/>
    <m/>
    <m/>
    <m/>
    <m/>
  </r>
  <r>
    <x v="1"/>
    <s v="A24C850001594"/>
    <s v="T24C850001145"/>
    <x v="1"/>
    <d v="2024-10-01T00:00:00"/>
    <d v="2024-12-31T00:00:00"/>
    <n v="2024"/>
    <n v="8300000"/>
    <n v="0"/>
    <n v="8300000"/>
    <n v="0"/>
    <n v="8300000"/>
    <s v="P24C850000014"/>
    <x v="2"/>
    <s v="SOCIAL ADS"/>
    <m/>
    <m/>
    <m/>
    <m/>
    <m/>
  </r>
  <r>
    <x v="1"/>
    <s v="A24C850001591"/>
    <s v="T24C850001147"/>
    <x v="1"/>
    <d v="2024-10-01T00:00:00"/>
    <d v="2024-12-31T00:00:00"/>
    <n v="2024"/>
    <n v="10000000"/>
    <n v="0"/>
    <n v="10000000"/>
    <n v="0"/>
    <n v="10000000"/>
    <s v="P24C850000012"/>
    <x v="1"/>
    <s v="SEARCH"/>
    <m/>
    <m/>
    <m/>
    <m/>
    <m/>
  </r>
  <r>
    <x v="1"/>
    <s v="A24C850001591"/>
    <s v="T24C850001147"/>
    <x v="1"/>
    <d v="2024-10-01T00:00:00"/>
    <d v="2024-12-31T00:00:00"/>
    <n v="2024"/>
    <n v="10000000"/>
    <n v="0"/>
    <n v="10000000"/>
    <n v="0"/>
    <n v="10000000"/>
    <s v="P24C850000012"/>
    <x v="1"/>
    <s v="SOCIAL ADS"/>
    <m/>
    <m/>
    <m/>
    <m/>
    <m/>
  </r>
  <r>
    <x v="1"/>
    <s v="A24C850001596"/>
    <s v="T24C850001151"/>
    <x v="1"/>
    <d v="2024-10-01T00:00:00"/>
    <d v="2024-12-31T00:00:00"/>
    <n v="2024"/>
    <n v="14500000"/>
    <n v="0"/>
    <n v="14500000"/>
    <n v="0"/>
    <n v="14500000"/>
    <s v="P24C850000013"/>
    <x v="0"/>
    <s v="SEARCH"/>
    <m/>
    <m/>
    <m/>
    <m/>
    <m/>
  </r>
  <r>
    <x v="1"/>
    <s v="A24C850001596"/>
    <s v="T24C850001151"/>
    <x v="1"/>
    <d v="2024-10-01T00:00:00"/>
    <d v="2024-12-31T00:00:00"/>
    <n v="2024"/>
    <n v="14500000"/>
    <n v="0"/>
    <n v="14500000"/>
    <n v="0"/>
    <n v="14500000"/>
    <s v="P24C850000013"/>
    <x v="0"/>
    <s v="SOCIAL ADS"/>
    <m/>
    <m/>
    <m/>
    <m/>
    <m/>
  </r>
  <r>
    <x v="1"/>
    <s v="A24C850001617"/>
    <s v="T24C850001201"/>
    <x v="1"/>
    <d v="2024-10-12T00:00:00"/>
    <d v="2024-12-31T00:00:00"/>
    <n v="2024"/>
    <n v="1500000"/>
    <n v="0"/>
    <n v="1500000"/>
    <n v="0"/>
    <n v="1500000"/>
    <s v="P24C850000013"/>
    <x v="0"/>
    <s v="SEARCH"/>
    <m/>
    <m/>
    <m/>
    <m/>
    <m/>
  </r>
  <r>
    <x v="1"/>
    <s v="A24C850001613"/>
    <s v="T24C850001206"/>
    <x v="1"/>
    <d v="2024-10-12T00:00:00"/>
    <d v="2024-12-31T00:00:00"/>
    <n v="2024"/>
    <n v="5500000"/>
    <n v="0"/>
    <n v="5500000"/>
    <n v="0"/>
    <n v="5500000"/>
    <s v="P24C850000013"/>
    <x v="0"/>
    <s v="SEARCH"/>
    <m/>
    <m/>
    <m/>
    <m/>
    <m/>
  </r>
  <r>
    <x v="1"/>
    <s v="A24C850001613"/>
    <s v="T24C850001206"/>
    <x v="1"/>
    <d v="2024-10-12T00:00:00"/>
    <d v="2024-12-31T00:00:00"/>
    <n v="2024"/>
    <n v="4500000"/>
    <n v="0"/>
    <n v="4500000"/>
    <n v="0"/>
    <n v="4500000"/>
    <s v="P24C850000013"/>
    <x v="0"/>
    <s v="SOCIAL ADS"/>
    <m/>
    <m/>
    <m/>
    <m/>
    <m/>
  </r>
  <r>
    <x v="2"/>
    <s v="A24C850000150"/>
    <s v="T24C850000099"/>
    <x v="0"/>
    <d v="2024-01-12T00:00:00"/>
    <d v="2024-03-31T00:00:00"/>
    <n v="2024"/>
    <n v="1000000"/>
    <n v="0"/>
    <n v="0"/>
    <n v="0"/>
    <n v="0"/>
    <s v="P24C850000013"/>
    <x v="0"/>
    <s v="DISPLAY"/>
    <s v="AO Julio / GW / AW"/>
    <s v="AO Julio / GW / AW"/>
    <s v="OK"/>
    <s v="OK"/>
    <s v="OK"/>
  </r>
  <r>
    <x v="2"/>
    <s v="A24C850000150"/>
    <s v="T24C850000099"/>
    <x v="0"/>
    <d v="2024-01-12T00:00:00"/>
    <d v="2024-03-31T00:00:00"/>
    <n v="2024"/>
    <n v="1500000"/>
    <n v="0"/>
    <n v="0"/>
    <n v="0"/>
    <n v="0"/>
    <s v="P24C850000013"/>
    <x v="0"/>
    <s v="SOCIAL ADS"/>
    <s v="AO Julio / GW / AW"/>
    <s v="AO Julio / GW / AW"/>
    <s v="OK"/>
    <s v="OK"/>
    <s v="OK"/>
  </r>
  <r>
    <x v="2"/>
    <s v="A24C850000150"/>
    <s v="T24C850000099"/>
    <x v="0"/>
    <d v="2024-01-12T00:00:00"/>
    <d v="2024-03-31T00:00:00"/>
    <n v="2024"/>
    <n v="1500000"/>
    <n v="0"/>
    <n v="1500000"/>
    <n v="1000000"/>
    <n v="0"/>
    <s v="P24C850000013"/>
    <x v="0"/>
    <s v="SEARCH"/>
    <s v="Pre/Lanz S24"/>
    <s v="Pre/Lanz S24"/>
    <s v="OK"/>
    <s v="OK"/>
    <s v="OK"/>
  </r>
  <r>
    <x v="2"/>
    <s v="A24C850001596"/>
    <s v="T24C850001155"/>
    <x v="1"/>
    <d v="2024-10-01T00:00:00"/>
    <d v="2024-12-31T00:00:00"/>
    <n v="2024"/>
    <n v="3000000"/>
    <n v="0"/>
    <n v="3000000"/>
    <n v="0"/>
    <n v="3000000"/>
    <s v="P24C850000013"/>
    <x v="0"/>
    <s v="SEARCH"/>
    <m/>
    <m/>
    <m/>
    <m/>
    <m/>
  </r>
  <r>
    <x v="2"/>
    <s v="A24C850001596"/>
    <s v="T24C850001155"/>
    <x v="1"/>
    <d v="2024-10-01T00:00:00"/>
    <d v="2024-12-31T00:00:00"/>
    <n v="2024"/>
    <n v="3000000"/>
    <n v="0"/>
    <n v="3000000"/>
    <n v="0"/>
    <n v="3000000"/>
    <s v="P24C850000013"/>
    <x v="0"/>
    <s v="SOCIAL ADS"/>
    <m/>
    <m/>
    <m/>
    <m/>
    <m/>
  </r>
  <r>
    <x v="3"/>
    <s v="A24C850000150"/>
    <s v="T24C850000097"/>
    <x v="0"/>
    <d v="2024-01-12T00:00:00"/>
    <d v="2024-03-31T00:00:00"/>
    <n v="2024"/>
    <n v="2000000"/>
    <n v="574365"/>
    <n v="0"/>
    <n v="0"/>
    <n v="0"/>
    <s v="P24C850000013"/>
    <x v="0"/>
    <s v="DISPLAY"/>
    <s v="Preventa S24"/>
    <s v="Preventa S24"/>
    <s v="OK"/>
    <s v="OK"/>
    <s v="OK"/>
  </r>
  <r>
    <x v="3"/>
    <s v="A24C850000150"/>
    <s v="T24C850000097"/>
    <x v="0"/>
    <d v="2024-01-12T00:00:00"/>
    <d v="2024-03-31T00:00:00"/>
    <n v="2024"/>
    <n v="3000000"/>
    <n v="3000000"/>
    <n v="0"/>
    <n v="0"/>
    <n v="0"/>
    <s v="P24C850000013"/>
    <x v="0"/>
    <s v="SOCIAL ADS"/>
    <s v="Preventa S24"/>
    <s v="Preventa S24"/>
    <s v="OK"/>
    <s v="OK"/>
    <s v="OK"/>
  </r>
  <r>
    <x v="3"/>
    <s v="A24C850000150"/>
    <s v="T24C850000097"/>
    <x v="0"/>
    <d v="2024-01-12T00:00:00"/>
    <d v="2024-03-31T00:00:00"/>
    <n v="2024"/>
    <n v="4000000"/>
    <n v="4000000"/>
    <n v="0"/>
    <n v="0"/>
    <n v="0"/>
    <s v="P24C850000013"/>
    <x v="0"/>
    <s v="SEARCH"/>
    <s v="Lanzamiento S24"/>
    <s v="Lanzamiento S24"/>
    <s v="OK"/>
    <s v="OK"/>
    <s v="OK"/>
  </r>
  <r>
    <x v="3"/>
    <s v="A24C850000791"/>
    <s v="T24C850000562"/>
    <x v="1"/>
    <d v="2024-04-26T00:00:00"/>
    <d v="2024-06-30T00:00:00"/>
    <n v="2024"/>
    <n v="2400789"/>
    <n v="0"/>
    <n v="2400789"/>
    <n v="0"/>
    <n v="2400789"/>
    <s v="P24C850000014"/>
    <x v="2"/>
    <s v="SEARCH"/>
    <s v="Cerrar"/>
    <m/>
    <m/>
    <m/>
    <m/>
  </r>
  <r>
    <x v="4"/>
    <s v="A24C850000150"/>
    <s v="T24C850000102"/>
    <x v="0"/>
    <d v="2024-01-12T00:00:00"/>
    <d v="2024-03-31T00:00:00"/>
    <n v="2024"/>
    <n v="5000000"/>
    <n v="4958807"/>
    <n v="0"/>
    <n v="0"/>
    <n v="0"/>
    <s v="P24C850000013"/>
    <x v="0"/>
    <s v="DISPLAY"/>
    <s v="Preventa_Lanzamiento S24"/>
    <s v="Preventa_Lanzamiento S24"/>
    <s v="OK"/>
    <s v="OK"/>
    <s v="OK"/>
  </r>
  <r>
    <x v="4"/>
    <s v="A24C850000150"/>
    <s v="T24C850000102"/>
    <x v="0"/>
    <d v="2024-01-12T00:00:00"/>
    <d v="2024-03-31T00:00:00"/>
    <n v="2024"/>
    <n v="7000000"/>
    <n v="7000000"/>
    <n v="0"/>
    <n v="0"/>
    <n v="0"/>
    <s v="P24C850000013"/>
    <x v="0"/>
    <s v="SOCIAL ADS"/>
    <s v="Preventa_Lanzamiento S24"/>
    <s v="Preventa_Lanzamiento S24"/>
    <s v="OK"/>
    <s v="OK"/>
    <s v="OK"/>
  </r>
  <r>
    <x v="4"/>
    <s v="A24C850000150"/>
    <s v="T24C850000102"/>
    <x v="0"/>
    <d v="2024-01-12T00:00:00"/>
    <d v="2024-03-31T00:00:00"/>
    <n v="2024"/>
    <n v="5000000"/>
    <n v="5000000"/>
    <n v="0"/>
    <n v="0"/>
    <n v="0"/>
    <s v="P24C850000013"/>
    <x v="0"/>
    <s v="SEARCH"/>
    <s v="Preventa_Lanzamiento S24"/>
    <s v="Preventa_Lanzamiento S24"/>
    <s v="OK"/>
    <s v="OK"/>
    <s v="OK"/>
  </r>
  <r>
    <x v="4"/>
    <s v="A24C850000391"/>
    <s v="T24C850000280 B"/>
    <x v="1"/>
    <d v="2024-02-16T00:00:00"/>
    <d v="2024-05-31T00:00:00"/>
    <n v="2024"/>
    <n v="711022"/>
    <n v="0"/>
    <n v="711022"/>
    <n v="711022"/>
    <n v="0"/>
    <s v="P24C850000013"/>
    <x v="0"/>
    <s v="DISPLAY"/>
    <m/>
    <s v="Black Friday"/>
    <s v="OK"/>
    <s v="OK"/>
    <m/>
  </r>
  <r>
    <x v="4"/>
    <s v="A24C850000391"/>
    <s v="T24C850000280 C"/>
    <x v="1"/>
    <d v="2024-02-16T00:00:00"/>
    <d v="2024-05-31T00:00:00"/>
    <n v="2024"/>
    <n v="1288978"/>
    <n v="0"/>
    <n v="1288978"/>
    <n v="0"/>
    <n v="1288978"/>
    <s v="P24C850000013"/>
    <x v="0"/>
    <s v="DISPLAY"/>
    <m/>
    <m/>
    <m/>
    <m/>
    <m/>
  </r>
  <r>
    <x v="4"/>
    <s v="A24C850000391"/>
    <s v="T24C850000280 "/>
    <x v="1"/>
    <d v="2024-02-16T00:00:00"/>
    <d v="2024-05-31T00:00:00"/>
    <n v="2024"/>
    <n v="2000000"/>
    <n v="2000000"/>
    <n v="0"/>
    <n v="0"/>
    <n v="0"/>
    <s v="P24C850000013"/>
    <x v="0"/>
    <s v="SOCIAL ADS"/>
    <m/>
    <s v="Lanzamiento S24"/>
    <s v="OK"/>
    <s v="OK"/>
    <s v="OK"/>
  </r>
  <r>
    <x v="4"/>
    <s v="A24C850000391"/>
    <s v="T24C850000280-B"/>
    <x v="1"/>
    <d v="2024-02-16T00:00:00"/>
    <d v="2024-05-31T00:00:00"/>
    <n v="2024"/>
    <n v="1000000"/>
    <n v="0"/>
    <n v="1000000"/>
    <n v="1000000"/>
    <n v="0"/>
    <s v="P24C850000013"/>
    <x v="0"/>
    <s v="SOCIAL ADS"/>
    <m/>
    <s v="Black Friday"/>
    <s v="OK"/>
    <s v="OK"/>
    <m/>
  </r>
  <r>
    <x v="4"/>
    <s v="A24C850000391"/>
    <s v="T24C850000280"/>
    <x v="1"/>
    <d v="2024-02-16T00:00:00"/>
    <d v="2024-05-31T00:00:00"/>
    <n v="2024"/>
    <n v="3000000"/>
    <n v="3000000"/>
    <n v="0"/>
    <n v="0"/>
    <n v="0"/>
    <s v="P24C850000013"/>
    <x v="0"/>
    <s v="SEARCH"/>
    <m/>
    <s v="Lanzamiento S24"/>
    <s v="OK"/>
    <s v="OK"/>
    <s v="OK"/>
  </r>
  <r>
    <x v="4"/>
    <s v="A24C850000391"/>
    <s v="T24C850000280-B"/>
    <x v="1"/>
    <d v="2024-02-16T00:00:00"/>
    <d v="2024-05-31T00:00:00"/>
    <n v="2024"/>
    <n v="4000000"/>
    <n v="0"/>
    <n v="4000000"/>
    <n v="4000000"/>
    <n v="0"/>
    <s v="P24C850000013"/>
    <x v="0"/>
    <s v="SEARCH"/>
    <m/>
    <s v="Black Friday"/>
    <s v="OK"/>
    <s v="OK"/>
    <m/>
  </r>
  <r>
    <x v="4"/>
    <s v="A24C850000712"/>
    <s v="T24C850000514"/>
    <x v="0"/>
    <d v="2024-04-03T00:00:00"/>
    <d v="2024-07-31T00:00:00"/>
    <n v="2024"/>
    <n v="4000000"/>
    <n v="3976882"/>
    <n v="0"/>
    <n v="0"/>
    <n v="0"/>
    <s v="P24C850000013"/>
    <x v="0"/>
    <s v="DISPLAY"/>
    <s v="Lanzamiento A35_A55"/>
    <s v="Lanzamiento A35_A55"/>
    <s v="OK"/>
    <s v="OK"/>
    <s v="OK"/>
  </r>
  <r>
    <x v="4"/>
    <s v="A24C850000712"/>
    <s v="T24C850000514"/>
    <x v="0"/>
    <d v="2024-04-03T00:00:00"/>
    <d v="2024-07-31T00:00:00"/>
    <n v="2024"/>
    <n v="1000000"/>
    <n v="1000000"/>
    <n v="0"/>
    <n v="0"/>
    <n v="0"/>
    <s v="P24C850000013"/>
    <x v="0"/>
    <s v="SOCIAL ADS"/>
    <s v="Lanzamiento A35_A55"/>
    <s v="Lanzamiento A35_A55"/>
    <s v="OK"/>
    <s v="OK"/>
    <s v="OK"/>
  </r>
  <r>
    <x v="4"/>
    <s v="A24C850000712"/>
    <s v="T24C850000514"/>
    <x v="0"/>
    <d v="2024-04-03T00:00:00"/>
    <d v="2024-07-31T00:00:00"/>
    <n v="2024"/>
    <n v="5000000"/>
    <n v="5000000"/>
    <n v="0"/>
    <n v="0"/>
    <n v="0"/>
    <s v="P24C850000013"/>
    <x v="0"/>
    <s v="SEARCH"/>
    <s v="Lanzamiento A35_A55"/>
    <s v="Lanzamiento A35_A55"/>
    <s v="OK"/>
    <s v="OK"/>
    <s v="OK"/>
  </r>
  <r>
    <x v="4"/>
    <s v="A24C850000852"/>
    <s v="T24C850000636"/>
    <x v="0"/>
    <d v="2024-05-25T00:00:00"/>
    <d v="2024-07-31T00:00:00"/>
    <n v="2024"/>
    <n v="4000000"/>
    <n v="0"/>
    <n v="4000000"/>
    <n v="4000000"/>
    <n v="0"/>
    <s v="P24C850000013"/>
    <x v="0"/>
    <s v="DISPLAY"/>
    <s v="S24 Jun pt.1"/>
    <s v="S24 Jun pt.1"/>
    <s v="OK"/>
    <s v="OK"/>
    <s v="OK"/>
  </r>
  <r>
    <x v="4"/>
    <s v="A24C850000852"/>
    <s v="T24C850000636"/>
    <x v="0"/>
    <d v="2024-05-25T00:00:00"/>
    <d v="2024-07-31T00:00:00"/>
    <n v="2024"/>
    <n v="4902960"/>
    <n v="0"/>
    <n v="4902960"/>
    <n v="4902960"/>
    <n v="0"/>
    <s v="P24C850000013"/>
    <x v="0"/>
    <s v="SEARCH"/>
    <s v="Cyber"/>
    <s v="Cyber"/>
    <s v="OK"/>
    <s v="OK"/>
    <s v="OK"/>
  </r>
  <r>
    <x v="4"/>
    <s v="A24C850000852"/>
    <s v="T24C850000636"/>
    <x v="0"/>
    <d v="2024-05-25T00:00:00"/>
    <d v="2024-07-31T00:00:00"/>
    <n v="2024"/>
    <n v="1097040"/>
    <n v="0"/>
    <n v="1097040"/>
    <n v="1097040"/>
    <n v="0"/>
    <s v="P24C850000013"/>
    <x v="0"/>
    <s v="SEARCH"/>
    <s v="S24 Jun pt.1"/>
    <s v="S24 Jun pt.1"/>
    <s v="OK"/>
    <s v="OK"/>
    <s v="OK"/>
  </r>
  <r>
    <x v="4"/>
    <s v="A24C850000876"/>
    <s v="T24C850000642"/>
    <x v="1"/>
    <d v="2024-06-01T00:00:00"/>
    <d v="2024-08-31T00:00:00"/>
    <n v="2024"/>
    <n v="1699077"/>
    <n v="0"/>
    <n v="1699077"/>
    <n v="1699077"/>
    <n v="0"/>
    <s v="P24C850000013"/>
    <x v="0"/>
    <s v="SEARCH"/>
    <m/>
    <s v="S24"/>
    <s v="OK"/>
    <s v="OK"/>
    <m/>
  </r>
  <r>
    <x v="4"/>
    <s v="A24C850000876"/>
    <s v="T24C850000642"/>
    <x v="1"/>
    <d v="2024-06-01T00:00:00"/>
    <d v="2024-08-31T00:00:00"/>
    <n v="2024"/>
    <n v="300923"/>
    <n v="0"/>
    <n v="300923"/>
    <n v="0"/>
    <n v="300923"/>
    <s v="P24C850000013"/>
    <x v="0"/>
    <s v="SEARCH"/>
    <s v="Cerrar"/>
    <m/>
    <m/>
    <m/>
    <m/>
  </r>
  <r>
    <x v="4"/>
    <s v="A24C850001596"/>
    <s v="T24C850001153"/>
    <x v="1"/>
    <d v="2024-10-01T00:00:00"/>
    <d v="2024-12-31T00:00:00"/>
    <n v="2024"/>
    <n v="5000000"/>
    <n v="0"/>
    <n v="5000000"/>
    <n v="0"/>
    <n v="5000000"/>
    <s v="P24C850000013"/>
    <x v="0"/>
    <s v="SEARCH"/>
    <m/>
    <m/>
    <m/>
    <m/>
    <m/>
  </r>
  <r>
    <x v="4"/>
    <s v="A24C850001596"/>
    <s v="T24C850001153"/>
    <x v="1"/>
    <d v="2024-10-01T00:00:00"/>
    <d v="2024-12-31T00:00:00"/>
    <n v="2024"/>
    <n v="5000000"/>
    <n v="0"/>
    <n v="5000000"/>
    <n v="0"/>
    <n v="5000000"/>
    <s v="P24C850000013"/>
    <x v="0"/>
    <s v="SOCIAL ADS"/>
    <m/>
    <m/>
    <m/>
    <m/>
    <m/>
  </r>
  <r>
    <x v="4"/>
    <s v="A24C850001617"/>
    <s v="T24C850001202"/>
    <x v="1"/>
    <d v="2024-10-12T00:00:00"/>
    <d v="2024-12-31T00:00:00"/>
    <n v="2024"/>
    <n v="2000000"/>
    <n v="0"/>
    <n v="2000000"/>
    <n v="0"/>
    <n v="2000000"/>
    <s v="P24C850000013"/>
    <x v="0"/>
    <s v="SEARCH"/>
    <m/>
    <m/>
    <m/>
    <m/>
    <m/>
  </r>
  <r>
    <x v="4"/>
    <s v="A24C850001613"/>
    <s v="T24C850001207"/>
    <x v="1"/>
    <d v="2024-10-12T00:00:00"/>
    <d v="2024-12-31T00:00:00"/>
    <n v="2024"/>
    <n v="8000000"/>
    <n v="0"/>
    <n v="8000000"/>
    <n v="0"/>
    <n v="8000000"/>
    <s v="P24C850000013"/>
    <x v="0"/>
    <s v="SEARCH"/>
    <m/>
    <m/>
    <m/>
    <m/>
    <m/>
  </r>
  <r>
    <x v="5"/>
    <s v="A24C850000150"/>
    <s v="T24C850000100"/>
    <x v="0"/>
    <d v="2024-01-12T00:00:00"/>
    <d v="2024-03-31T00:00:00"/>
    <n v="2024"/>
    <n v="1000000"/>
    <n v="944137"/>
    <n v="0"/>
    <n v="0"/>
    <n v="0"/>
    <s v="P24C850000013"/>
    <x v="0"/>
    <s v="DISPLAY"/>
    <s v="Preventa_Lanzamiento S24"/>
    <s v="Preventa_Lanzamiento S24"/>
    <s v="OK"/>
    <s v="OK"/>
    <s v="OK"/>
  </r>
  <r>
    <x v="5"/>
    <s v="A24C850000150"/>
    <s v="T24C850000100"/>
    <x v="0"/>
    <d v="2024-01-12T00:00:00"/>
    <d v="2024-03-31T00:00:00"/>
    <n v="2024"/>
    <n v="1500000"/>
    <n v="1500000"/>
    <n v="0"/>
    <n v="0"/>
    <n v="0"/>
    <s v="P24C850000013"/>
    <x v="0"/>
    <s v="SOCIAL ADS"/>
    <s v="Preventa_Lanzamiento S24"/>
    <s v="Preventa_Lanzamiento S24"/>
    <s v="OK"/>
    <s v="OK"/>
    <s v="OK"/>
  </r>
  <r>
    <x v="5"/>
    <s v="A24C850000150"/>
    <s v="T24C850000100"/>
    <x v="0"/>
    <d v="2024-01-12T00:00:00"/>
    <d v="2024-03-31T00:00:00"/>
    <n v="2024"/>
    <n v="1500000"/>
    <n v="1500000"/>
    <n v="0"/>
    <n v="0"/>
    <n v="0"/>
    <s v="P24C850000013"/>
    <x v="0"/>
    <s v="SEARCH"/>
    <s v="Preventa_Lanzamiento S24"/>
    <s v="Preventa_Lanzamiento S24"/>
    <s v="OK"/>
    <s v="OK"/>
    <s v="OK"/>
  </r>
  <r>
    <x v="5"/>
    <s v="A24C850000712"/>
    <s v="T24C850000512"/>
    <x v="0"/>
    <d v="2024-04-03T00:00:00"/>
    <d v="2024-07-31T00:00:00"/>
    <n v="2024"/>
    <n v="3000000"/>
    <m/>
    <n v="3000000"/>
    <n v="3000000"/>
    <n v="0"/>
    <s v="P24C850000013"/>
    <x v="0"/>
    <s v="DISPLAY"/>
    <s v="Lanzamiento A35_A55"/>
    <s v="Lanzamiento A35_A55"/>
    <s v="OK"/>
    <s v="OK"/>
    <s v="OK"/>
  </r>
  <r>
    <x v="5"/>
    <s v="A24C850000712"/>
    <s v="T24C850000512"/>
    <x v="0"/>
    <d v="2024-04-03T00:00:00"/>
    <d v="2024-07-31T00:00:00"/>
    <n v="2024"/>
    <n v="1000000"/>
    <m/>
    <n v="1000000"/>
    <n v="1000000"/>
    <n v="0"/>
    <s v="P24C850000013"/>
    <x v="0"/>
    <s v="SOCIAL ADS"/>
    <s v="Lanzamiento A35_A55"/>
    <s v="Lanzamiento A35_A55"/>
    <s v="OK"/>
    <s v="OK"/>
    <s v="OK"/>
  </r>
  <r>
    <x v="5"/>
    <s v="A24C850000712"/>
    <s v="T24C850000512"/>
    <x v="0"/>
    <d v="2024-04-03T00:00:00"/>
    <d v="2024-07-31T00:00:00"/>
    <n v="2024"/>
    <n v="4000000"/>
    <m/>
    <n v="4000000"/>
    <n v="4000000"/>
    <n v="0"/>
    <s v="P24C850000013"/>
    <x v="0"/>
    <s v="SEARCH"/>
    <s v="Lanzamiento A35_A55"/>
    <s v="Lanzamiento A35_A55"/>
    <s v="OK"/>
    <s v="OK"/>
    <s v="OK"/>
  </r>
  <r>
    <x v="5"/>
    <s v="A24C850000876"/>
    <s v="T24C850000643"/>
    <x v="1"/>
    <d v="2024-06-01T00:00:00"/>
    <d v="2024-08-31T00:00:00"/>
    <n v="2024"/>
    <n v="2000000"/>
    <n v="0"/>
    <n v="2000000"/>
    <n v="0"/>
    <n v="2000000"/>
    <s v="P24C850000013"/>
    <x v="0"/>
    <s v="SEARCH"/>
    <s v="Cerrar"/>
    <m/>
    <m/>
    <m/>
    <m/>
  </r>
  <r>
    <x v="5"/>
    <s v="A24C850001596"/>
    <s v="T24C850001154"/>
    <x v="1"/>
    <d v="2024-10-01T00:00:00"/>
    <d v="2024-12-31T00:00:00"/>
    <n v="2024"/>
    <n v="6500000"/>
    <n v="0"/>
    <n v="6500000"/>
    <n v="0"/>
    <n v="6500000"/>
    <s v="P24C850000013"/>
    <x v="0"/>
    <s v="SEARCH"/>
    <m/>
    <m/>
    <m/>
    <m/>
    <m/>
  </r>
  <r>
    <x v="5"/>
    <s v="A24C850001596"/>
    <s v="T24C850001154"/>
    <x v="1"/>
    <d v="2024-10-01T00:00:00"/>
    <d v="2024-12-31T00:00:00"/>
    <n v="2024"/>
    <n v="6500000"/>
    <n v="0"/>
    <n v="6500000"/>
    <n v="0"/>
    <n v="6500000"/>
    <s v="P24C850000013"/>
    <x v="0"/>
    <s v="SOCIAL ADS"/>
    <m/>
    <m/>
    <m/>
    <m/>
    <m/>
  </r>
  <r>
    <x v="5"/>
    <s v="A24C850001617"/>
    <s v="T24C850001203"/>
    <x v="1"/>
    <d v="2024-10-12T00:00:00"/>
    <d v="2024-12-31T00:00:00"/>
    <n v="2024"/>
    <n v="1500000"/>
    <n v="0"/>
    <n v="1500000"/>
    <n v="0"/>
    <n v="1500000"/>
    <s v="P24C850000013"/>
    <x v="0"/>
    <s v="DISPLAY"/>
    <m/>
    <m/>
    <m/>
    <m/>
    <m/>
  </r>
  <r>
    <x v="6"/>
    <s v="A24C850000149"/>
    <s v="T24C850000090"/>
    <x v="1"/>
    <d v="2024-01-10T00:00:00"/>
    <d v="2024-03-31T00:00:00"/>
    <n v="2024"/>
    <n v="473069"/>
    <n v="473069"/>
    <n v="0"/>
    <n v="0"/>
    <n v="0"/>
    <s v="P24C850000013"/>
    <x v="0"/>
    <s v="DISPLAY"/>
    <m/>
    <s v="AO Febrero"/>
    <s v="OK"/>
    <s v="OK"/>
    <s v="OK"/>
  </r>
  <r>
    <x v="6"/>
    <s v="A24C850000149"/>
    <s v="T24C850000090"/>
    <x v="1"/>
    <d v="2024-01-10T00:00:00"/>
    <d v="2024-03-31T00:00:00"/>
    <n v="2024"/>
    <n v="540706"/>
    <n v="409341"/>
    <n v="131365"/>
    <n v="0"/>
    <n v="131365"/>
    <s v="P24C850000013"/>
    <x v="0"/>
    <s v="DISPLAY"/>
    <m/>
    <s v="Semana Planes"/>
    <s v="OK"/>
    <s v="OK"/>
    <m/>
  </r>
  <r>
    <x v="6"/>
    <s v="A24C850000149"/>
    <s v="T24C850000090"/>
    <x v="1"/>
    <d v="2024-01-10T00:00:00"/>
    <d v="2024-03-31T00:00:00"/>
    <n v="2024"/>
    <n v="3613775"/>
    <n v="3613775"/>
    <n v="0"/>
    <n v="0"/>
    <n v="0"/>
    <s v="P24C850000013"/>
    <x v="0"/>
    <s v="SEARCH"/>
    <m/>
    <s v="AO Febrero"/>
    <s v="OK"/>
    <s v="OK"/>
    <s v="OK"/>
  </r>
  <r>
    <x v="6"/>
    <s v="A24C850000150"/>
    <s v="T24C850000094"/>
    <x v="0"/>
    <d v="2024-01-12T00:00:00"/>
    <d v="2024-03-31T00:00:00"/>
    <n v="2024"/>
    <n v="10000000"/>
    <n v="10000000"/>
    <n v="0"/>
    <n v="0"/>
    <n v="0"/>
    <s v="P24C850000013"/>
    <x v="0"/>
    <s v="DISPLAY"/>
    <s v="Lanzamiento S24"/>
    <s v="Lanzamiento S24"/>
    <s v="OK"/>
    <s v="OK"/>
    <s v="OK"/>
  </r>
  <r>
    <x v="6"/>
    <s v="A24C850000150"/>
    <s v="T24C850000094"/>
    <x v="0"/>
    <d v="2024-01-12T00:00:00"/>
    <d v="2024-03-31T00:00:00"/>
    <n v="2024"/>
    <n v="21000000"/>
    <n v="21000000"/>
    <n v="0"/>
    <n v="0"/>
    <n v="0"/>
    <s v="P24C850000013"/>
    <x v="0"/>
    <s v="SEARCH"/>
    <s v="Lanzamiento S24"/>
    <s v="Lanzamiento S24"/>
    <s v="OK"/>
    <s v="OK"/>
    <s v="OK"/>
  </r>
  <r>
    <x v="6"/>
    <s v="A24C850000150"/>
    <s v="T24C850000094"/>
    <x v="0"/>
    <d v="2024-01-12T00:00:00"/>
    <d v="2024-03-31T00:00:00"/>
    <n v="2024"/>
    <n v="22000000"/>
    <n v="22000000"/>
    <n v="0"/>
    <n v="0"/>
    <n v="0"/>
    <s v="P24C850000013"/>
    <x v="0"/>
    <s v="SOCIAL ADS"/>
    <s v="Lanzamiento S24"/>
    <s v="Lanzamiento S24"/>
    <s v="OK"/>
    <s v="OK"/>
    <s v="OK"/>
  </r>
  <r>
    <x v="6"/>
    <s v="A24C850000150"/>
    <s v="T24C850000094"/>
    <x v="0"/>
    <d v="2024-01-12T00:00:00"/>
    <d v="2024-03-31T00:00:00"/>
    <n v="2024"/>
    <n v="36000000"/>
    <n v="36000000"/>
    <n v="0"/>
    <n v="0"/>
    <n v="0"/>
    <s v="P24C850000013"/>
    <x v="0"/>
    <s v="ADS TV"/>
    <s v="Lanzamiento S24"/>
    <s v="Lanzamiento S24"/>
    <s v="OK"/>
    <s v="OK"/>
    <s v="OK"/>
  </r>
  <r>
    <x v="6"/>
    <s v="A24C850000150"/>
    <s v="T24C850000094"/>
    <x v="0"/>
    <d v="2024-01-12T00:00:00"/>
    <d v="2024-03-31T00:00:00"/>
    <n v="2024"/>
    <n v="4000000"/>
    <n v="4000000"/>
    <n v="0"/>
    <n v="0"/>
    <n v="0"/>
    <s v="P24C850000013"/>
    <x v="0"/>
    <s v="ADS NEWSPAPER"/>
    <s v="Lanzamiento S24"/>
    <s v="Lanzamiento S24"/>
    <s v="OK"/>
    <s v="OK"/>
    <s v="OK"/>
  </r>
  <r>
    <x v="6"/>
    <s v="A24C850000382"/>
    <s v="T24C850000260"/>
    <x v="0"/>
    <d v="2024-02-15T00:00:00"/>
    <d v="2024-05-31T00:00:00"/>
    <n v="2024"/>
    <n v="4000000"/>
    <n v="3859770"/>
    <n v="0"/>
    <n v="0"/>
    <n v="0"/>
    <s v="P24C850000015"/>
    <x v="3"/>
    <s v="SEARCH"/>
    <s v="SS Week - Black Friday"/>
    <s v="SS Week - Black Friday"/>
    <s v="OK"/>
    <s v="OK"/>
    <s v="OK"/>
  </r>
  <r>
    <x v="6"/>
    <s v="A24C850000381"/>
    <s v="T24C850000263"/>
    <x v="0"/>
    <d v="2024-02-15T00:00:00"/>
    <d v="2024-05-31T00:00:00"/>
    <n v="2024"/>
    <n v="4000000"/>
    <n v="3959933"/>
    <n v="0"/>
    <n v="0"/>
    <n v="0"/>
    <s v="P24C850000012"/>
    <x v="1"/>
    <s v="SEARCH"/>
    <s v="Back to school"/>
    <s v="Back to school"/>
    <s v="OK"/>
    <s v="OK"/>
    <s v="OK"/>
  </r>
  <r>
    <x v="6"/>
    <s v="A24C850000380"/>
    <s v="T24C850000271"/>
    <x v="0"/>
    <d v="2024-02-15T00:00:00"/>
    <d v="2024-05-31T00:00:00"/>
    <n v="2024"/>
    <n v="5000000"/>
    <n v="5000000"/>
    <n v="0"/>
    <n v="0"/>
    <n v="0"/>
    <s v="P24C850000014"/>
    <x v="2"/>
    <s v="SEARCH"/>
    <s v="Back to school"/>
    <s v="Back to school"/>
    <s v="OK"/>
    <s v="OK"/>
    <s v="OK"/>
  </r>
  <r>
    <x v="6"/>
    <s v="A24C850000391"/>
    <s v="T24C850000279"/>
    <x v="0"/>
    <d v="2024-02-16T00:00:00"/>
    <d v="2024-05-31T00:00:00"/>
    <n v="2024"/>
    <n v="7608000"/>
    <n v="7608000"/>
    <n v="0"/>
    <n v="0"/>
    <n v="0"/>
    <s v="P24C850000013"/>
    <x v="0"/>
    <s v="DISPLAY"/>
    <s v="Lanzamiento S24"/>
    <s v="Lanzamiento S24"/>
    <s v="OK"/>
    <s v="OK"/>
    <s v="OK"/>
  </r>
  <r>
    <x v="6"/>
    <s v="A24C850000391"/>
    <s v="T24C850000279"/>
    <x v="0"/>
    <d v="2024-02-16T00:00:00"/>
    <d v="2024-05-31T00:00:00"/>
    <n v="2024"/>
    <n v="23000000"/>
    <n v="4000000"/>
    <n v="0"/>
    <n v="0"/>
    <n v="0"/>
    <s v="P24C850000013"/>
    <x v="0"/>
    <s v="SOCIAL ADS"/>
    <s v="Lanzamiento S24"/>
    <s v="Lanzamiento S24"/>
    <s v="OK"/>
    <s v="OK"/>
    <s v="OK"/>
  </r>
  <r>
    <x v="6"/>
    <s v="A24C850000391"/>
    <s v="T24C850000279"/>
    <x v="0"/>
    <d v="2024-02-16T00:00:00"/>
    <d v="2024-05-31T00:00:00"/>
    <n v="2024"/>
    <n v="28000000"/>
    <n v="8820648"/>
    <n v="0"/>
    <n v="0"/>
    <n v="0"/>
    <s v="P24C850000013"/>
    <x v="0"/>
    <s v="SEARCH"/>
    <s v="Lanzamiento S24 + TAB"/>
    <s v="Lanzamiento S24"/>
    <s v="OK"/>
    <s v="OK"/>
    <s v="OK"/>
  </r>
  <r>
    <x v="6"/>
    <s v="A24C850000391"/>
    <s v="T24C850000279"/>
    <x v="0"/>
    <d v="2024-02-16T00:00:00"/>
    <d v="2024-05-31T00:00:00"/>
    <n v="2024"/>
    <n v="2000000"/>
    <n v="0"/>
    <n v="0"/>
    <n v="0"/>
    <n v="0"/>
    <s v="P24C850000013"/>
    <x v="0"/>
    <s v="ADS NEWSPAPER"/>
    <s v="Lanzamiento S24 + TAB"/>
    <s v="Lanzamiento S24"/>
    <s v="OK"/>
    <s v="OK"/>
    <s v="OK"/>
  </r>
  <r>
    <x v="6"/>
    <s v="A24C850000391"/>
    <s v="T24C850000279"/>
    <x v="0"/>
    <d v="2024-02-16T00:00:00"/>
    <d v="2024-05-31T00:00:00"/>
    <n v="2024"/>
    <n v="8000000"/>
    <n v="0"/>
    <n v="0"/>
    <n v="0"/>
    <n v="0"/>
    <s v="P24C850000013"/>
    <x v="0"/>
    <s v="ADS TV"/>
    <s v="Lanzamiento S24 + TAB"/>
    <s v="Lanzamiento S24"/>
    <s v="OK"/>
    <s v="OK"/>
    <s v="OK"/>
  </r>
  <r>
    <x v="6"/>
    <s v="A24C850000514"/>
    <s v="T24C850000346"/>
    <x v="0"/>
    <d v="2024-03-12T00:00:00"/>
    <d v="2024-05-31T00:00:00"/>
    <n v="2024"/>
    <n v="2423286"/>
    <n v="2423286"/>
    <n v="0"/>
    <n v="0"/>
    <n v="0"/>
    <s v="P24C850000013"/>
    <x v="0"/>
    <s v="DISPLAY"/>
    <s v="AO Marzo"/>
    <s v="AO Marzo"/>
    <s v="OK"/>
    <s v="OK"/>
    <s v="OK"/>
  </r>
  <r>
    <x v="6"/>
    <s v="A24C850000514"/>
    <s v="T24C850000346"/>
    <x v="0"/>
    <d v="2024-03-12T00:00:00"/>
    <d v="2024-05-31T00:00:00"/>
    <n v="2024"/>
    <n v="2090489"/>
    <n v="0"/>
    <n v="2090489"/>
    <n v="2090489"/>
    <n v="0"/>
    <s v="P24C850000013"/>
    <x v="0"/>
    <s v="DISPLAY"/>
    <s v="Semana Planes"/>
    <s v="Semana Planes"/>
    <s v="OK"/>
    <s v="OK"/>
    <s v="OK"/>
  </r>
  <r>
    <x v="6"/>
    <s v="A24C850000514"/>
    <s v="T24C850000346"/>
    <x v="0"/>
    <d v="2024-03-12T00:00:00"/>
    <d v="2024-05-31T00:00:00"/>
    <n v="2024"/>
    <n v="10000000"/>
    <n v="10000000"/>
    <n v="0"/>
    <n v="0"/>
    <n v="0"/>
    <s v="P24C850000013"/>
    <x v="0"/>
    <s v="SEARCH"/>
    <s v="AO Marzo"/>
    <s v="AO Marzo"/>
    <s v="OK"/>
    <s v="OK"/>
    <s v="OK"/>
  </r>
  <r>
    <x v="6"/>
    <s v="A24C850000566"/>
    <s v="T24C850000381"/>
    <x v="0"/>
    <d v="2024-03-20T00:00:00"/>
    <d v="2024-05-31T00:00:00"/>
    <n v="2024"/>
    <n v="3000000"/>
    <n v="3000000"/>
    <n v="0"/>
    <n v="0"/>
    <n v="0"/>
    <s v="P24C850000013"/>
    <x v="0"/>
    <s v="DISPLAY"/>
    <s v="AO Marzo"/>
    <s v="AO Marzo"/>
    <s v="OK"/>
    <s v="OK"/>
    <s v="OK"/>
  </r>
  <r>
    <x v="6"/>
    <s v="A24C850000566"/>
    <s v="T24C850000381"/>
    <x v="0"/>
    <d v="2024-03-20T00:00:00"/>
    <d v="2024-05-31T00:00:00"/>
    <n v="2024"/>
    <n v="6000000"/>
    <n v="6000000"/>
    <n v="0"/>
    <n v="0"/>
    <n v="0"/>
    <s v="P24C850000013"/>
    <x v="0"/>
    <s v="SEARCH"/>
    <s v="AO Marzo"/>
    <s v="AO Marzo"/>
    <s v="OK"/>
    <s v="OK"/>
    <s v="OK"/>
  </r>
  <r>
    <x v="6"/>
    <s v="A24C850000619"/>
    <s v="T24C850000402"/>
    <x v="0"/>
    <d v="2024-03-27T00:00:00"/>
    <d v="2024-05-31T00:00:00"/>
    <n v="2024"/>
    <n v="7000000"/>
    <n v="6634403"/>
    <n v="0"/>
    <n v="0"/>
    <n v="0"/>
    <s v="P24C850000015"/>
    <x v="3"/>
    <s v="SEARCH"/>
    <s v="Black Friday - Galaxy fit3"/>
    <s v="Black Friday - Galaxy fit3"/>
    <s v="OK"/>
    <s v="OK"/>
    <s v="OK"/>
  </r>
  <r>
    <x v="6"/>
    <s v="A24C850000619"/>
    <s v="T24C850000402"/>
    <x v="0"/>
    <d v="2024-03-27T00:00:00"/>
    <d v="2024-05-31T00:00:00"/>
    <n v="2024"/>
    <n v="3000000"/>
    <n v="3000000"/>
    <n v="0"/>
    <n v="0"/>
    <n v="0"/>
    <s v="P24C850000015"/>
    <x v="3"/>
    <s v="DISPLAY"/>
    <s v="Black Friday - Galaxy fit3"/>
    <s v="Black Friday - Galaxy fit3"/>
    <s v="OK"/>
    <s v="OK"/>
    <s v="OK"/>
  </r>
  <r>
    <x v="6"/>
    <s v="A24C850000690"/>
    <s v="T24C850000459"/>
    <x v="1"/>
    <d v="2024-03-31T00:00:00"/>
    <d v="2024-06-30T00:00:00"/>
    <n v="2024"/>
    <n v="5990725"/>
    <n v="0"/>
    <n v="5990725"/>
    <n v="5990725"/>
    <n v="0"/>
    <s v="P24C850000012"/>
    <x v="1"/>
    <s v="DISPLAY"/>
    <m/>
    <s v="Launch GB4"/>
    <s v="OK"/>
    <s v="OK"/>
    <m/>
  </r>
  <r>
    <x v="6"/>
    <s v="A24C850000690"/>
    <s v="T24C850000459"/>
    <x v="1"/>
    <d v="2024-03-31T00:00:00"/>
    <d v="2024-06-30T00:00:00"/>
    <n v="2024"/>
    <n v="1009275"/>
    <n v="0"/>
    <n v="1009275"/>
    <n v="0"/>
    <n v="1009275"/>
    <s v="P24C850000012"/>
    <x v="1"/>
    <s v="DISPLAY"/>
    <m/>
    <m/>
    <m/>
    <m/>
    <m/>
  </r>
  <r>
    <x v="6"/>
    <s v="A24C850000690"/>
    <s v="T24C850000459"/>
    <x v="1"/>
    <d v="2024-03-31T00:00:00"/>
    <d v="2024-06-30T00:00:00"/>
    <n v="2024"/>
    <n v="13000000"/>
    <n v="0"/>
    <n v="13000000"/>
    <n v="13000000"/>
    <n v="0"/>
    <s v="P24C850000012"/>
    <x v="1"/>
    <s v="SEARCH"/>
    <m/>
    <s v="Launch GB4"/>
    <s v="OK"/>
    <s v="OK"/>
    <m/>
  </r>
  <r>
    <x v="6"/>
    <s v="A24C850000529"/>
    <s v="T24C850000362"/>
    <x v="0"/>
    <d v="2024-04-01T00:00:00"/>
    <d v="2024-06-30T00:00:00"/>
    <n v="2024"/>
    <n v="4513775"/>
    <n v="4513775"/>
    <n v="0"/>
    <n v="0"/>
    <n v="0"/>
    <s v="P24C850000013"/>
    <x v="0"/>
    <s v="DISPLAY"/>
    <m/>
    <m/>
    <s v="OK"/>
    <s v="OK"/>
    <s v="OK"/>
  </r>
  <r>
    <x v="6"/>
    <s v="A24C850000529"/>
    <s v="T24C850000362"/>
    <x v="0"/>
    <d v="2024-04-01T00:00:00"/>
    <d v="2024-06-30T00:00:00"/>
    <n v="2024"/>
    <n v="10000000"/>
    <n v="10000000"/>
    <n v="0"/>
    <n v="0"/>
    <n v="0"/>
    <s v="P24C850000013"/>
    <x v="0"/>
    <s v="SEARCH"/>
    <m/>
    <m/>
    <s v="OK"/>
    <s v="OK"/>
    <s v="OK"/>
  </r>
  <r>
    <x v="6"/>
    <s v="A24C850000712"/>
    <s v="T24C850000509"/>
    <x v="0"/>
    <d v="2024-04-03T00:00:00"/>
    <d v="2024-07-31T00:00:00"/>
    <n v="2024"/>
    <n v="5000000"/>
    <n v="4844344"/>
    <n v="0"/>
    <n v="0"/>
    <n v="0"/>
    <s v="P24C850000013"/>
    <x v="0"/>
    <s v="DISPLAY"/>
    <s v="A35/A55"/>
    <s v="A35/A55"/>
    <s v="OK"/>
    <s v="OK"/>
    <s v="OK"/>
  </r>
  <r>
    <x v="6"/>
    <s v="A24C850000712"/>
    <s v="T24C850000509"/>
    <x v="0"/>
    <d v="2024-04-03T00:00:00"/>
    <d v="2024-07-31T00:00:00"/>
    <n v="2024"/>
    <n v="3000000"/>
    <n v="3000000"/>
    <n v="0"/>
    <n v="0"/>
    <n v="0"/>
    <s v="P24C850000013"/>
    <x v="0"/>
    <s v="SOCIAL ADS"/>
    <s v="A35/A55"/>
    <s v="A35/A55"/>
    <s v="OK"/>
    <s v="OK"/>
    <s v="OK"/>
  </r>
  <r>
    <x v="6"/>
    <s v="A24C850000712"/>
    <s v="T24C850000509"/>
    <x v="0"/>
    <d v="2024-04-03T00:00:00"/>
    <d v="2024-07-31T00:00:00"/>
    <n v="2024"/>
    <n v="12000000"/>
    <n v="12000000"/>
    <n v="0"/>
    <n v="0"/>
    <n v="0"/>
    <s v="P24C850000013"/>
    <x v="0"/>
    <s v="SEARCH"/>
    <s v="A35/A55"/>
    <s v="A35/A55"/>
    <s v="OK"/>
    <s v="OK"/>
    <s v="OK"/>
  </r>
  <r>
    <x v="6"/>
    <s v="A24C850000783"/>
    <s v="T24C850000537"/>
    <x v="0"/>
    <d v="2024-04-17T00:00:00"/>
    <d v="2024-06-30T00:00:00"/>
    <n v="2024"/>
    <n v="1000000"/>
    <n v="864412"/>
    <n v="0"/>
    <n v="0"/>
    <n v="0"/>
    <s v="P24C850000013"/>
    <x v="0"/>
    <s v="DISPLAY"/>
    <s v="Galaxy Week"/>
    <s v="Galaxy Week"/>
    <s v="OK"/>
    <s v="OK"/>
    <s v="OK"/>
  </r>
  <r>
    <x v="6"/>
    <s v="A24C850000783"/>
    <s v="T24C850000537"/>
    <x v="0"/>
    <d v="2024-04-17T00:00:00"/>
    <d v="2024-06-30T00:00:00"/>
    <n v="2024"/>
    <n v="3000000"/>
    <n v="3000000"/>
    <n v="0"/>
    <n v="0"/>
    <n v="0"/>
    <s v="P24C850000013"/>
    <x v="0"/>
    <s v="SEARCH"/>
    <s v="Galaxy Week"/>
    <s v="Galaxy Week"/>
    <s v="OK"/>
    <s v="OK"/>
    <s v="OK"/>
  </r>
  <r>
    <x v="6"/>
    <s v="A24C850000791"/>
    <s v="T24C850000563"/>
    <x v="1"/>
    <d v="2024-04-26T00:00:00"/>
    <d v="2024-06-30T00:00:00"/>
    <n v="2024"/>
    <n v="5462517"/>
    <n v="0"/>
    <n v="5462517"/>
    <n v="5462517"/>
    <n v="0"/>
    <s v="P24C850000014"/>
    <x v="2"/>
    <s v="SEARCH"/>
    <m/>
    <s v="Deuda Eco"/>
    <s v="OK"/>
    <s v="OK"/>
    <m/>
  </r>
  <r>
    <x v="6"/>
    <s v="A24C850000794"/>
    <s v="T24C850000573"/>
    <x v="0"/>
    <d v="2024-04-26T00:00:00"/>
    <d v="2024-06-30T00:00:00"/>
    <n v="2024"/>
    <n v="15000000"/>
    <n v="15000000"/>
    <n v="0"/>
    <n v="0"/>
    <n v="0"/>
    <s v="P24C850000014"/>
    <x v="2"/>
    <s v="DISPLAY"/>
    <m/>
    <m/>
    <s v="OK"/>
    <s v="OK"/>
    <s v="OK"/>
  </r>
  <r>
    <x v="6"/>
    <s v="A24C850000534"/>
    <s v="T24C850000357"/>
    <x v="0"/>
    <d v="2024-05-01T00:00:00"/>
    <d v="2024-07-31T00:00:00"/>
    <n v="2024"/>
    <n v="3510469"/>
    <n v="0"/>
    <n v="3510469"/>
    <n v="3510469"/>
    <n v="0"/>
    <s v="P24C850000013"/>
    <x v="0"/>
    <s v="DISPLAY"/>
    <s v="AO Mayo"/>
    <s v="AO Mayo"/>
    <s v="OK"/>
    <s v="OK"/>
    <s v="OK"/>
  </r>
  <r>
    <x v="6"/>
    <s v="A24C850000534"/>
    <s v="T24C850000357 B"/>
    <x v="0"/>
    <d v="2024-05-01T00:00:00"/>
    <d v="2024-07-31T00:00:00"/>
    <n v="2024"/>
    <n v="1003306"/>
    <n v="0"/>
    <n v="1003306"/>
    <n v="1003306"/>
    <n v="0"/>
    <s v="P24C850000013"/>
    <x v="0"/>
    <s v="DISPLAY"/>
    <s v="Cyber pt1"/>
    <s v="Cyber pt1"/>
    <s v="OK"/>
    <s v="OK"/>
    <s v="OK"/>
  </r>
  <r>
    <x v="6"/>
    <s v="A24C850000534"/>
    <s v="T24C850000357"/>
    <x v="0"/>
    <d v="2024-05-01T00:00:00"/>
    <d v="2024-07-31T00:00:00"/>
    <n v="2024"/>
    <n v="4000000"/>
    <n v="0"/>
    <n v="4000000"/>
    <n v="4000000"/>
    <n v="0"/>
    <s v="P24C850000013"/>
    <x v="0"/>
    <s v="SEARCH"/>
    <s v="AO Mayo"/>
    <s v="AO Mayo"/>
    <s v="OK"/>
    <s v="OK"/>
    <s v="OK"/>
  </r>
  <r>
    <x v="6"/>
    <s v="A24C850000534"/>
    <s v="T24C850000357 B"/>
    <x v="0"/>
    <d v="2024-05-01T00:00:00"/>
    <d v="2024-07-31T00:00:00"/>
    <n v="2024"/>
    <n v="6000000"/>
    <n v="0"/>
    <n v="6000000"/>
    <n v="6000000"/>
    <n v="0"/>
    <s v="P24C850000013"/>
    <x v="0"/>
    <s v="SEARCH"/>
    <s v="Cyber pt1"/>
    <s v="Cyber pt1"/>
    <s v="OK"/>
    <s v="OK"/>
    <s v="OK"/>
  </r>
  <r>
    <x v="6"/>
    <s v="A24C850000879"/>
    <s v="T24C850000625"/>
    <x v="0"/>
    <d v="2024-05-15T00:00:00"/>
    <d v="2024-08-31T00:00:00"/>
    <n v="2024"/>
    <n v="3000000"/>
    <n v="3000000"/>
    <n v="0"/>
    <n v="0"/>
    <n v="0"/>
    <s v="P24C850000012"/>
    <x v="1"/>
    <s v="DISPLAY"/>
    <s v="Cyber"/>
    <s v="Cyber"/>
    <s v="OK"/>
    <s v="OK"/>
    <s v="OK"/>
  </r>
  <r>
    <x v="6"/>
    <s v="A24C850000879"/>
    <s v="T24C850000625"/>
    <x v="0"/>
    <d v="2024-05-15T00:00:00"/>
    <d v="2024-08-31T00:00:00"/>
    <n v="2024"/>
    <n v="6000000"/>
    <n v="6000000"/>
    <n v="0"/>
    <n v="0"/>
    <n v="0"/>
    <s v="P24C850000012"/>
    <x v="1"/>
    <s v="SEARCH"/>
    <s v="Cyber"/>
    <s v="Cyber"/>
    <s v="OK"/>
    <s v="OK"/>
    <s v="OK"/>
  </r>
  <r>
    <x v="6"/>
    <s v="A24C850000881"/>
    <s v="T24C850000645"/>
    <x v="1"/>
    <d v="2024-05-25T00:00:00"/>
    <d v="2024-08-31T00:00:00"/>
    <n v="2024"/>
    <n v="3000000"/>
    <n v="0"/>
    <n v="3000000"/>
    <n v="0"/>
    <n v="3000000"/>
    <s v="P24C850000015"/>
    <x v="3"/>
    <s v="SEARCH"/>
    <m/>
    <m/>
    <m/>
    <m/>
    <m/>
  </r>
  <r>
    <x v="6"/>
    <s v="A24C850000931"/>
    <s v="T24C850000672"/>
    <x v="1"/>
    <d v="2024-05-30T00:00:00"/>
    <d v="2024-06-30T00:00:00"/>
    <n v="2024"/>
    <n v="2000000"/>
    <n v="0"/>
    <n v="2000000"/>
    <n v="1996450"/>
    <n v="3550"/>
    <s v="P24C850000014"/>
    <x v="2"/>
    <s v="DISPLAY"/>
    <m/>
    <s v="Cyber"/>
    <s v="OK"/>
    <s v="OK"/>
    <m/>
  </r>
  <r>
    <x v="6"/>
    <s v="A24C850000931"/>
    <s v="T24C850000672"/>
    <x v="1"/>
    <d v="2024-05-30T00:00:00"/>
    <d v="2024-06-30T00:00:00"/>
    <n v="2024"/>
    <n v="3000000"/>
    <n v="0"/>
    <n v="3000000"/>
    <n v="3000000"/>
    <n v="0"/>
    <s v="P24C850000014"/>
    <x v="2"/>
    <s v="SEARCH"/>
    <m/>
    <s v="Cyber"/>
    <s v="OK"/>
    <s v="OK"/>
    <m/>
  </r>
  <r>
    <x v="6"/>
    <s v="A24C850000882"/>
    <s v="T24C850000610"/>
    <x v="1"/>
    <d v="2024-06-01T00:00:00"/>
    <d v="2024-08-31T00:00:00"/>
    <n v="2024"/>
    <n v="2000000"/>
    <n v="0"/>
    <n v="2000000"/>
    <n v="0"/>
    <n v="2000000"/>
    <s v="P24C850000014"/>
    <x v="2"/>
    <s v="DISPLAY"/>
    <m/>
    <m/>
    <m/>
    <m/>
    <m/>
  </r>
  <r>
    <x v="6"/>
    <s v="A24C850000882"/>
    <s v="T24C850000610"/>
    <x v="1"/>
    <d v="2024-06-01T00:00:00"/>
    <d v="2024-08-31T00:00:00"/>
    <n v="2024"/>
    <n v="3000000"/>
    <n v="0"/>
    <n v="3000000"/>
    <n v="1971588"/>
    <n v="1028412"/>
    <s v="P24C850000014"/>
    <x v="2"/>
    <s v="SEARCH"/>
    <m/>
    <s v="AI Week Julio"/>
    <s v="OK"/>
    <s v="OK"/>
    <m/>
  </r>
  <r>
    <x v="6"/>
    <s v="A24C850000871"/>
    <s v="T24C850000617"/>
    <x v="0"/>
    <d v="2024-06-01T00:00:00"/>
    <d v="2024-08-31T00:00:00"/>
    <n v="2024"/>
    <n v="4000000"/>
    <n v="4000000"/>
    <n v="0"/>
    <n v="0"/>
    <n v="0"/>
    <s v="P24C850000013"/>
    <x v="0"/>
    <s v="DISPLAY"/>
    <s v="Cyber  pt2"/>
    <s v="Cyber  pt2"/>
    <s v="OK"/>
    <s v="OK"/>
    <s v="OK"/>
  </r>
  <r>
    <x v="6"/>
    <s v="A24C850000871"/>
    <s v="T24C850000617"/>
    <x v="0"/>
    <d v="2024-06-01T00:00:00"/>
    <d v="2024-08-31T00:00:00"/>
    <n v="2024"/>
    <n v="10000000"/>
    <n v="10000000"/>
    <n v="0"/>
    <n v="0"/>
    <n v="0"/>
    <s v="P24C850000013"/>
    <x v="0"/>
    <s v="SEARCH"/>
    <s v="Cyber  pt2 + AO Junio"/>
    <s v="Cyber  pt2 + AO Junio"/>
    <s v="OK"/>
    <s v="OK"/>
    <s v="OK"/>
  </r>
  <r>
    <x v="6"/>
    <s v="A24C850000967"/>
    <s v="T24C850000718"/>
    <x v="1"/>
    <d v="2024-06-02T00:00:00"/>
    <d v="2024-06-15T00:00:00"/>
    <n v="2024"/>
    <n v="3000000"/>
    <n v="0"/>
    <n v="3000000"/>
    <n v="0"/>
    <n v="3000000"/>
    <s v="P24C850000013"/>
    <x v="0"/>
    <s v="SOCIAL ADS"/>
    <m/>
    <m/>
    <m/>
    <m/>
    <m/>
  </r>
  <r>
    <x v="6"/>
    <s v="A24C850000967"/>
    <s v="T24C850000718"/>
    <x v="1"/>
    <d v="2024-06-02T00:00:00"/>
    <d v="2024-06-15T00:00:00"/>
    <n v="2024"/>
    <n v="3000000"/>
    <n v="0"/>
    <n v="3000000"/>
    <n v="0"/>
    <n v="3000000"/>
    <s v="P24C850000013"/>
    <x v="0"/>
    <s v="DISPLAY"/>
    <m/>
    <m/>
    <m/>
    <m/>
    <m/>
  </r>
  <r>
    <x v="6"/>
    <s v="A24C850001037"/>
    <s v="T24C850000735"/>
    <x v="1"/>
    <d v="2024-06-12T00:00:00"/>
    <d v="2024-08-31T00:00:00"/>
    <n v="2024"/>
    <n v="4000000"/>
    <n v="0"/>
    <n v="4000000"/>
    <n v="0"/>
    <n v="4000000"/>
    <s v="P24C850000013"/>
    <x v="0"/>
    <s v="SEARCH"/>
    <m/>
    <m/>
    <m/>
    <m/>
    <m/>
  </r>
  <r>
    <x v="6"/>
    <s v="A24C850001114"/>
    <s v="T24C850000800"/>
    <x v="1"/>
    <d v="2024-06-30T00:00:00"/>
    <d v="2024-09-30T00:00:00"/>
    <n v="2024"/>
    <n v="6000000"/>
    <n v="0"/>
    <n v="6000000"/>
    <n v="0"/>
    <n v="6000000"/>
    <s v="P24C850000013"/>
    <x v="0"/>
    <s v="SEARCH"/>
    <m/>
    <m/>
    <m/>
    <m/>
    <m/>
  </r>
  <r>
    <x v="6"/>
    <s v="A24C850001114"/>
    <s v="T24C850000800"/>
    <x v="1"/>
    <d v="2024-06-30T00:00:00"/>
    <d v="2024-09-30T00:00:00"/>
    <n v="2024"/>
    <n v="6000000"/>
    <n v="0"/>
    <n v="6000000"/>
    <n v="0"/>
    <n v="6000000"/>
    <s v="P24C850000013"/>
    <x v="0"/>
    <s v="SOCIAL ADS"/>
    <m/>
    <m/>
    <m/>
    <m/>
    <m/>
  </r>
  <r>
    <x v="6"/>
    <s v="A24C850001111"/>
    <s v="T24C850000806"/>
    <x v="1"/>
    <d v="2024-06-30T00:00:00"/>
    <d v="2024-09-30T00:00:00"/>
    <n v="2024"/>
    <n v="2734924"/>
    <n v="0"/>
    <n v="2734924"/>
    <n v="2734924"/>
    <n v="0"/>
    <s v="P24C850000013"/>
    <x v="0"/>
    <s v="SEARCH"/>
    <m/>
    <s v="AI Week"/>
    <s v="OK"/>
    <s v="OK"/>
    <s v="OK"/>
  </r>
  <r>
    <x v="6"/>
    <s v="A24C850001111 B"/>
    <s v="T24C850000806"/>
    <x v="1"/>
    <d v="2024-06-30T00:00:00"/>
    <d v="2024-09-30T00:00:00"/>
    <n v="2024"/>
    <n v="5765076"/>
    <n v="0"/>
    <n v="5765076"/>
    <n v="0"/>
    <n v="5765076"/>
    <s v="P24C850000013"/>
    <x v="0"/>
    <s v="SEARCH"/>
    <m/>
    <m/>
    <m/>
    <m/>
    <m/>
  </r>
  <r>
    <x v="6"/>
    <s v="A24C850001111"/>
    <s v="T24C850000806"/>
    <x v="1"/>
    <d v="2024-06-30T00:00:00"/>
    <d v="2024-09-30T00:00:00"/>
    <n v="2024"/>
    <n v="2000000"/>
    <n v="0"/>
    <n v="2000000"/>
    <n v="2000000"/>
    <n v="0"/>
    <s v="P24C850000013"/>
    <x v="0"/>
    <s v="SOCIAL ADS"/>
    <m/>
    <s v="AI Week"/>
    <s v="OK"/>
    <s v="OK"/>
    <s v="OK"/>
  </r>
  <r>
    <x v="6"/>
    <s v="A24C850001111 B"/>
    <s v="T24C850000806"/>
    <x v="1"/>
    <d v="2024-06-30T00:00:00"/>
    <d v="2024-09-30T00:00:00"/>
    <n v="2024"/>
    <n v="6500000"/>
    <n v="0"/>
    <n v="6500000"/>
    <n v="0"/>
    <n v="6500000"/>
    <s v="P24C850000013"/>
    <x v="0"/>
    <s v="SOCIAL ADS"/>
    <m/>
    <m/>
    <m/>
    <m/>
    <m/>
  </r>
  <r>
    <x v="6"/>
    <s v="A24C850001147"/>
    <s v="T24C850000871"/>
    <x v="0"/>
    <d v="2024-07-12T00:00:00"/>
    <d v="2024-09-30T00:00:00"/>
    <n v="2024"/>
    <n v="4500000"/>
    <n v="4500000"/>
    <n v="0"/>
    <n v="0"/>
    <n v="0"/>
    <s v="P24C850000013"/>
    <x v="0"/>
    <s v="DISPLAY"/>
    <s v="AO Julio"/>
    <s v="AO Julio"/>
    <s v="OK"/>
    <s v="OK"/>
    <s v="OK"/>
  </r>
  <r>
    <x v="6"/>
    <s v="A24C850001147"/>
    <s v="T24C850000871"/>
    <x v="0"/>
    <d v="2024-07-12T00:00:00"/>
    <d v="2024-09-30T00:00:00"/>
    <n v="2024"/>
    <n v="10000000"/>
    <n v="10000000"/>
    <n v="0"/>
    <n v="0"/>
    <n v="0"/>
    <s v="P24C850000013"/>
    <x v="0"/>
    <s v="SEARCH"/>
    <s v="AO Julio"/>
    <s v="AO Julio"/>
    <s v="OK"/>
    <s v="OK"/>
    <s v="OK"/>
  </r>
  <r>
    <x v="6"/>
    <s v="A24C850001163"/>
    <s v="T24C850000881"/>
    <x v="0"/>
    <d v="2024-07-12T00:00:00"/>
    <d v="2024-09-30T00:00:00"/>
    <n v="2024"/>
    <n v="3000000"/>
    <n v="3000000"/>
    <n v="0"/>
    <n v="0"/>
    <n v="0"/>
    <s v="P24C850000014"/>
    <x v="2"/>
    <s v="DISPLAY"/>
    <m/>
    <m/>
    <s v="OK"/>
    <s v="OK"/>
    <s v="OK"/>
  </r>
  <r>
    <x v="6"/>
    <s v="A24C850001163"/>
    <s v="T24C850000881"/>
    <x v="0"/>
    <d v="2024-07-12T00:00:00"/>
    <d v="2024-09-30T00:00:00"/>
    <n v="2024"/>
    <n v="6000000"/>
    <n v="6000000"/>
    <n v="0"/>
    <n v="0"/>
    <n v="0"/>
    <s v="P24C850000014"/>
    <x v="2"/>
    <s v="SEARCH"/>
    <m/>
    <m/>
    <s v="OK"/>
    <s v="OK"/>
    <s v="OK"/>
  </r>
  <r>
    <x v="6"/>
    <s v="A24C850001169"/>
    <s v="T24C850000883"/>
    <x v="1"/>
    <d v="2024-07-12T00:00:00"/>
    <d v="2024-09-30T00:00:00"/>
    <n v="2024"/>
    <n v="6000000"/>
    <n v="6000000"/>
    <n v="0"/>
    <n v="0"/>
    <n v="0"/>
    <s v="P24C850000015"/>
    <x v="3"/>
    <s v="SEARCH"/>
    <m/>
    <s v="Watch 7 Lanzamiento"/>
    <s v="OK"/>
    <s v="OK"/>
    <s v="OK"/>
  </r>
  <r>
    <x v="6"/>
    <s v="A24C850001169"/>
    <s v="T24C850000883"/>
    <x v="1"/>
    <d v="2024-07-12T00:00:00"/>
    <d v="2024-09-30T00:00:00"/>
    <n v="2024"/>
    <n v="4000000"/>
    <n v="4000000"/>
    <n v="0"/>
    <n v="0"/>
    <n v="0"/>
    <s v="P24C850000015"/>
    <x v="3"/>
    <s v="DISPLAY"/>
    <m/>
    <s v="Watch 7 Lanzamiento"/>
    <s v="OK"/>
    <s v="OK"/>
    <s v="OK"/>
  </r>
  <r>
    <x v="6"/>
    <s v="A24C850001252"/>
    <s v="T24C850000926"/>
    <x v="1"/>
    <d v="2024-07-31T00:00:00"/>
    <d v="2024-12-31T00:00:00"/>
    <n v="2024"/>
    <n v="13000000"/>
    <n v="0"/>
    <n v="13000000"/>
    <n v="13000000"/>
    <n v="0"/>
    <s v="P24C850000012"/>
    <x v="1"/>
    <s v="SEARCH"/>
    <m/>
    <s v="Microsoft"/>
    <s v="OK"/>
    <s v="OK"/>
    <m/>
  </r>
  <r>
    <x v="6"/>
    <s v="A24C850001252"/>
    <s v="T24C850000926 B"/>
    <x v="1"/>
    <d v="2024-07-31T00:00:00"/>
    <d v="2024-12-31T00:00:00"/>
    <n v="2024"/>
    <n v="50396000"/>
    <n v="0"/>
    <n v="50396000"/>
    <n v="3000000"/>
    <n v="47396000"/>
    <s v="P24C850000012"/>
    <x v="1"/>
    <s v="SEARCH"/>
    <m/>
    <s v="Black Out"/>
    <s v="OK"/>
    <s v="OK"/>
    <m/>
  </r>
  <r>
    <x v="6"/>
    <s v="A24C850001252"/>
    <s v="T24C850000926"/>
    <x v="1"/>
    <d v="2024-07-31T00:00:00"/>
    <d v="2024-12-31T00:00:00"/>
    <n v="2024"/>
    <n v="16459757"/>
    <n v="0"/>
    <n v="16459757"/>
    <n v="16459757"/>
    <n v="0"/>
    <s v="P24C850000012"/>
    <x v="1"/>
    <s v="DISPLAY"/>
    <m/>
    <s v="Microsoft"/>
    <s v="OK"/>
    <s v="OK"/>
    <m/>
  </r>
  <r>
    <x v="6"/>
    <s v="A24C850001252"/>
    <s v="T24C850000926"/>
    <x v="1"/>
    <d v="2024-07-31T00:00:00"/>
    <d v="2024-12-31T00:00:00"/>
    <n v="2024"/>
    <n v="43540243"/>
    <n v="0"/>
    <n v="43540243"/>
    <n v="0"/>
    <n v="43540243"/>
    <s v="P24C850000012"/>
    <x v="1"/>
    <s v="DISPLAY"/>
    <m/>
    <m/>
    <m/>
    <m/>
    <m/>
  </r>
  <r>
    <x v="6"/>
    <s v="A24C850001252"/>
    <s v="T24C850000926"/>
    <x v="1"/>
    <d v="2024-07-31T00:00:00"/>
    <d v="2024-12-31T00:00:00"/>
    <n v="2024"/>
    <n v="4000000"/>
    <n v="0"/>
    <n v="4000000"/>
    <n v="4000000"/>
    <n v="0"/>
    <s v="P24C850000012"/>
    <x v="1"/>
    <s v="SOCIAL ADS"/>
    <m/>
    <s v="Microsoft"/>
    <s v="OK"/>
    <s v="OK"/>
    <m/>
  </r>
  <r>
    <x v="6"/>
    <s v="A24C850001252"/>
    <s v="T24C850000926"/>
    <x v="1"/>
    <d v="2024-07-31T00:00:00"/>
    <d v="2024-12-31T00:00:00"/>
    <n v="2024"/>
    <n v="15000000"/>
    <n v="0"/>
    <n v="15000000"/>
    <n v="3000000"/>
    <n v="12000000"/>
    <s v="P24C850000012"/>
    <x v="1"/>
    <s v="SOCIAL ADS"/>
    <m/>
    <s v="Black Out"/>
    <s v="OK"/>
    <s v="OK"/>
    <m/>
  </r>
  <r>
    <x v="6"/>
    <s v="A24C850001263"/>
    <s v="T24C850000943"/>
    <x v="1"/>
    <d v="2024-08-09T00:00:00"/>
    <d v="2024-11-30T00:00:00"/>
    <n v="2024"/>
    <n v="9198000"/>
    <n v="9198000"/>
    <n v="0"/>
    <n v="0"/>
    <n v="0"/>
    <s v="P24C850000014"/>
    <x v="2"/>
    <s v="DISPLAY"/>
    <m/>
    <m/>
    <m/>
    <m/>
    <m/>
  </r>
  <r>
    <x v="6"/>
    <s v="A24C850001263"/>
    <s v="T24C850000943"/>
    <x v="1"/>
    <d v="2024-08-09T00:00:00"/>
    <d v="2024-11-30T00:00:00"/>
    <n v="2024"/>
    <n v="12198000"/>
    <n v="0"/>
    <n v="12198000"/>
    <n v="0"/>
    <n v="12198000"/>
    <s v="P24C850000014"/>
    <x v="2"/>
    <s v="SEARCH"/>
    <m/>
    <m/>
    <m/>
    <m/>
    <m/>
  </r>
  <r>
    <x v="6"/>
    <s v="A24C850001288"/>
    <s v="T24C850000955"/>
    <x v="1"/>
    <d v="2024-08-09T00:00:00"/>
    <d v="2024-11-30T00:00:00"/>
    <n v="2024"/>
    <n v="17197500"/>
    <n v="0"/>
    <n v="17197500"/>
    <n v="0"/>
    <n v="17197500"/>
    <s v="P24C850000013"/>
    <x v="0"/>
    <s v="DISPLAY"/>
    <m/>
    <m/>
    <m/>
    <m/>
    <m/>
  </r>
  <r>
    <x v="6"/>
    <s v="A24C850001288"/>
    <s v="T24C850000955"/>
    <x v="1"/>
    <d v="2024-08-09T00:00:00"/>
    <d v="2024-11-30T00:00:00"/>
    <n v="2024"/>
    <n v="21197500"/>
    <n v="0"/>
    <n v="21197500"/>
    <n v="0"/>
    <n v="21197500"/>
    <s v="P24C850000013"/>
    <x v="0"/>
    <s v="SEARCH"/>
    <m/>
    <m/>
    <m/>
    <m/>
    <m/>
  </r>
  <r>
    <x v="6"/>
    <s v="A24C850001289"/>
    <s v="T24C850000958"/>
    <x v="1"/>
    <d v="2024-08-12T00:00:00"/>
    <d v="2024-12-31T00:00:00"/>
    <n v="2024"/>
    <n v="8556500"/>
    <n v="0"/>
    <n v="8556500"/>
    <n v="0"/>
    <n v="8556500"/>
    <s v="P24C850000015"/>
    <x v="3"/>
    <s v="SEARCH"/>
    <m/>
    <m/>
    <m/>
    <m/>
    <m/>
  </r>
  <r>
    <x v="6"/>
    <s v="A24C850001289"/>
    <s v="T24C850000958"/>
    <x v="1"/>
    <d v="2024-08-12T00:00:00"/>
    <d v="2024-12-31T00:00:00"/>
    <n v="2024"/>
    <n v="5556500"/>
    <n v="0"/>
    <n v="5556500"/>
    <n v="0"/>
    <n v="5556500"/>
    <s v="P24C850000015"/>
    <x v="3"/>
    <s v="DISPLAY"/>
    <m/>
    <m/>
    <m/>
    <m/>
    <m/>
  </r>
  <r>
    <x v="6"/>
    <s v="A24C850001355"/>
    <s v="T24C850000985"/>
    <x v="1"/>
    <d v="2024-08-23T00:00:00"/>
    <d v="2024-11-30T00:00:00"/>
    <n v="2024"/>
    <n v="5000000"/>
    <n v="0"/>
    <n v="5000000"/>
    <n v="0"/>
    <n v="5000000"/>
    <s v="P24C850000013"/>
    <x v="0"/>
    <s v="DISPLAY"/>
    <m/>
    <m/>
    <m/>
    <m/>
    <m/>
  </r>
  <r>
    <x v="6"/>
    <s v="A24C850001355"/>
    <s v="T24C850000985"/>
    <x v="1"/>
    <d v="2024-08-23T00:00:00"/>
    <d v="2024-11-30T00:00:00"/>
    <n v="2024"/>
    <n v="10000000"/>
    <n v="0"/>
    <n v="10000000"/>
    <n v="0"/>
    <n v="10000000"/>
    <s v="P24C850000013"/>
    <x v="0"/>
    <s v="SEARCH"/>
    <m/>
    <m/>
    <m/>
    <m/>
    <m/>
  </r>
  <r>
    <x v="6"/>
    <s v="A24C850001590"/>
    <s v="T24C850001138"/>
    <x v="1"/>
    <d v="2024-10-01T00:00:00"/>
    <d v="2024-12-31T00:00:00"/>
    <n v="2024"/>
    <n v="2000000"/>
    <n v="0"/>
    <n v="2000000"/>
    <n v="0"/>
    <n v="2000000"/>
    <s v="P24C850000015"/>
    <x v="3"/>
    <s v="SOCIAL ADS"/>
    <m/>
    <m/>
    <m/>
    <m/>
    <m/>
  </r>
  <r>
    <x v="6"/>
    <s v="A24C850001590"/>
    <s v="T24C850001138"/>
    <x v="1"/>
    <d v="2024-10-01T00:00:00"/>
    <d v="2024-12-31T00:00:00"/>
    <n v="2024"/>
    <n v="2000000"/>
    <n v="0"/>
    <n v="2000000"/>
    <n v="0"/>
    <n v="2000000"/>
    <s v="P24C850000015"/>
    <x v="3"/>
    <s v="SEARCH"/>
    <m/>
    <m/>
    <m/>
    <m/>
    <m/>
  </r>
  <r>
    <x v="6"/>
    <s v="A24C850001594"/>
    <s v="T24C850001142"/>
    <x v="1"/>
    <d v="2024-10-01T00:00:00"/>
    <d v="2024-12-31T00:00:00"/>
    <n v="2024"/>
    <n v="13500000"/>
    <n v="0"/>
    <n v="13500000"/>
    <n v="0"/>
    <n v="13500000"/>
    <s v="P24C850000014"/>
    <x v="2"/>
    <s v="SEARCH"/>
    <m/>
    <m/>
    <m/>
    <m/>
    <m/>
  </r>
  <r>
    <x v="6"/>
    <s v="A24C850001594"/>
    <s v="T24C850001142"/>
    <x v="1"/>
    <d v="2024-10-01T00:00:00"/>
    <d v="2024-12-31T00:00:00"/>
    <n v="2024"/>
    <n v="13500000"/>
    <n v="0"/>
    <n v="13500000"/>
    <n v="0"/>
    <n v="13500000"/>
    <s v="P24C850000014"/>
    <x v="2"/>
    <s v="SOCIAL ADS"/>
    <m/>
    <m/>
    <m/>
    <m/>
    <m/>
  </r>
  <r>
    <x v="6"/>
    <s v="A24C850001591"/>
    <s v="T24C850001144"/>
    <x v="1"/>
    <d v="2024-10-01T00:00:00"/>
    <d v="2024-12-31T00:00:00"/>
    <n v="2024"/>
    <n v="31800000"/>
    <n v="0"/>
    <n v="31800000"/>
    <n v="0"/>
    <n v="31800000"/>
    <s v="P24C850000012"/>
    <x v="1"/>
    <s v="DISPLAY"/>
    <m/>
    <m/>
    <m/>
    <m/>
    <m/>
  </r>
  <r>
    <x v="6"/>
    <s v="A24C850001591"/>
    <s v="T24C850001144"/>
    <x v="1"/>
    <d v="2024-10-01T00:00:00"/>
    <d v="2024-12-31T00:00:00"/>
    <n v="2024"/>
    <n v="31800000"/>
    <n v="0"/>
    <n v="31800000"/>
    <n v="0"/>
    <n v="31800000"/>
    <s v="P24C850000012"/>
    <x v="1"/>
    <s v="SEARCH"/>
    <m/>
    <m/>
    <m/>
    <m/>
    <m/>
  </r>
  <r>
    <x v="6"/>
    <s v="A24C850001591"/>
    <s v="T24C850001144"/>
    <x v="1"/>
    <d v="2024-10-01T00:00:00"/>
    <d v="2024-12-31T00:00:00"/>
    <n v="2024"/>
    <n v="32400000"/>
    <n v="0"/>
    <n v="32400000"/>
    <n v="0"/>
    <n v="32400000"/>
    <s v="P24C850000012"/>
    <x v="1"/>
    <s v="SOCIAL ADS"/>
    <m/>
    <m/>
    <m/>
    <m/>
    <m/>
  </r>
  <r>
    <x v="6"/>
    <s v="A24C850001596"/>
    <s v="T24C850001149"/>
    <x v="1"/>
    <d v="2024-10-01T00:00:00"/>
    <d v="2024-12-31T00:00:00"/>
    <n v="2024"/>
    <n v="24000000"/>
    <n v="0"/>
    <n v="24000000"/>
    <n v="0"/>
    <n v="24000000"/>
    <s v="P24C850000013"/>
    <x v="0"/>
    <s v="SEARCH"/>
    <m/>
    <m/>
    <m/>
    <m/>
    <m/>
  </r>
  <r>
    <x v="6"/>
    <s v="A24C850001596"/>
    <s v="T24C850001149"/>
    <x v="1"/>
    <d v="2024-10-01T00:00:00"/>
    <d v="2024-12-31T00:00:00"/>
    <n v="2024"/>
    <n v="24000000"/>
    <n v="0"/>
    <n v="24000000"/>
    <n v="0"/>
    <n v="24000000"/>
    <s v="P24C850000013"/>
    <x v="0"/>
    <s v="SOCIAL ADS"/>
    <m/>
    <m/>
    <m/>
    <m/>
    <m/>
  </r>
  <r>
    <x v="6"/>
    <s v="A24C850001617"/>
    <s v="T24C850001199"/>
    <x v="1"/>
    <d v="2024-10-12T00:00:00"/>
    <d v="2024-12-31T00:00:00"/>
    <n v="2024"/>
    <n v="3000000"/>
    <n v="0"/>
    <n v="3000000"/>
    <n v="0"/>
    <n v="3000000"/>
    <s v="P24C850000013"/>
    <x v="0"/>
    <s v="DISPLAY"/>
    <m/>
    <m/>
    <m/>
    <m/>
    <m/>
  </r>
  <r>
    <x v="6"/>
    <s v="A24C850001613"/>
    <s v="T24C850001204"/>
    <x v="1"/>
    <d v="2024-10-12T00:00:00"/>
    <d v="2024-12-31T00:00:00"/>
    <n v="2024"/>
    <n v="4000000"/>
    <n v="0"/>
    <n v="4000000"/>
    <n v="0"/>
    <n v="4000000"/>
    <s v="P24C850000013"/>
    <x v="0"/>
    <s v="DISPLAY"/>
    <m/>
    <m/>
    <m/>
    <m/>
    <m/>
  </r>
  <r>
    <x v="6"/>
    <s v="A24C850001613"/>
    <s v="T24C850001204"/>
    <x v="1"/>
    <d v="2024-10-12T00:00:00"/>
    <d v="2024-12-31T00:00:00"/>
    <n v="2024"/>
    <n v="5500000"/>
    <n v="0"/>
    <n v="5500000"/>
    <n v="0"/>
    <n v="5500000"/>
    <s v="P24C850000013"/>
    <x v="0"/>
    <s v="SEARCH"/>
    <m/>
    <m/>
    <m/>
    <m/>
    <m/>
  </r>
  <r>
    <x v="6"/>
    <s v="A24C850001613"/>
    <s v="T24C850001204"/>
    <x v="1"/>
    <d v="2024-10-12T00:00:00"/>
    <d v="2024-12-31T00:00:00"/>
    <n v="2024"/>
    <n v="4000000"/>
    <n v="0"/>
    <n v="4000000"/>
    <n v="0"/>
    <n v="4000000"/>
    <s v="P24C850000013"/>
    <x v="0"/>
    <s v="SOCIAL ADS"/>
    <m/>
    <m/>
    <m/>
    <m/>
    <m/>
  </r>
  <r>
    <x v="7"/>
    <s v="A24C850000149"/>
    <s v="T24C850000093"/>
    <x v="0"/>
    <d v="2024-01-10T00:00:00"/>
    <d v="2024-03-31T00:00:00"/>
    <n v="2024"/>
    <n v="867665"/>
    <n v="867665"/>
    <n v="0"/>
    <n v="0"/>
    <n v="0"/>
    <s v="P24C850000013"/>
    <x v="0"/>
    <s v="DISPLAY"/>
    <s v="Meli Fest"/>
    <s v="Meli Fest"/>
    <s v="OK"/>
    <s v="OK"/>
    <s v="OK"/>
  </r>
  <r>
    <x v="7"/>
    <s v="A24C850000149"/>
    <s v="T24C850000093"/>
    <x v="0"/>
    <d v="2024-01-10T00:00:00"/>
    <d v="2024-03-31T00:00:00"/>
    <n v="2024"/>
    <n v="867666"/>
    <n v="867666"/>
    <n v="0"/>
    <n v="0"/>
    <n v="0"/>
    <s v="P24C850000013"/>
    <x v="0"/>
    <s v="SEARCH"/>
    <s v="Meli Fest"/>
    <s v="Meli Fest"/>
    <s v="OK"/>
    <s v="OK"/>
    <s v="OK"/>
  </r>
  <r>
    <x v="7"/>
    <s v="A24C850000150"/>
    <s v="T24C850000103"/>
    <x v="0"/>
    <d v="2024-01-12T00:00:00"/>
    <d v="2024-03-31T00:00:00"/>
    <n v="2024"/>
    <n v="8400000"/>
    <n v="8400000"/>
    <n v="0"/>
    <n v="0"/>
    <n v="0"/>
    <s v="P24C850000013"/>
    <x v="0"/>
    <s v="DISPLAY"/>
    <s v="Preventa_Lanzamiento S24"/>
    <s v="Preventa_Lanzamiento S24"/>
    <s v="OK"/>
    <s v="OK"/>
    <s v="OK"/>
  </r>
  <r>
    <x v="7"/>
    <s v="A24C850000150"/>
    <s v="T24C850000103"/>
    <x v="0"/>
    <d v="2024-01-12T00:00:00"/>
    <d v="2024-03-31T00:00:00"/>
    <n v="2024"/>
    <n v="12000000"/>
    <n v="12000000"/>
    <n v="0"/>
    <n v="0"/>
    <n v="0"/>
    <s v="P24C850000013"/>
    <x v="0"/>
    <s v="SEARCH"/>
    <s v="Preventa_Lanzamiento S24"/>
    <s v="Preventa_Lanzamiento S24"/>
    <s v="OK"/>
    <s v="OK"/>
    <s v="OK"/>
  </r>
  <r>
    <x v="7"/>
    <s v="A24C850000391"/>
    <s v="T24C850000281"/>
    <x v="0"/>
    <d v="2024-02-16T00:00:00"/>
    <d v="2024-05-31T00:00:00"/>
    <n v="2024"/>
    <n v="19592000"/>
    <n v="9705604"/>
    <n v="0"/>
    <n v="0"/>
    <n v="0"/>
    <s v="P24C850000013"/>
    <x v="0"/>
    <s v="DISPLAY"/>
    <s v="Preventa_Lanzamiento S24"/>
    <s v="Preventa_Lanzamiento S24"/>
    <s v="OK"/>
    <s v="OK"/>
    <s v="OK"/>
  </r>
  <r>
    <x v="7"/>
    <s v="A24C850000391"/>
    <s v="T24C850000281"/>
    <x v="0"/>
    <d v="2024-02-16T00:00:00"/>
    <d v="2024-05-31T00:00:00"/>
    <n v="2024"/>
    <n v="45000000"/>
    <n v="45000000"/>
    <n v="0"/>
    <n v="0"/>
    <n v="0"/>
    <s v="P24C850000013"/>
    <x v="0"/>
    <s v="SEARCH"/>
    <s v="Preventa_Lanzamiento S24"/>
    <s v="Preventa_Lanzamiento S24"/>
    <s v="OK"/>
    <s v="OK"/>
    <s v="OK"/>
  </r>
  <r>
    <x v="7"/>
    <s v="A24C850000518"/>
    <s v="T24C850000347"/>
    <x v="0"/>
    <d v="2024-03-12T00:00:00"/>
    <d v="2024-05-31T00:00:00"/>
    <n v="2024"/>
    <n v="1442666"/>
    <n v="1442665"/>
    <n v="0"/>
    <n v="0"/>
    <n v="0"/>
    <s v="P24C850000013"/>
    <x v="0"/>
    <s v="DISPLAY"/>
    <s v="Meli Fest"/>
    <s v="Meli Fest"/>
    <s v="OK"/>
    <s v="OK"/>
    <s v="OK"/>
  </r>
  <r>
    <x v="7"/>
    <s v="A24C850000518"/>
    <s v="T24C850000347"/>
    <x v="0"/>
    <d v="2024-03-12T00:00:00"/>
    <d v="2024-05-31T00:00:00"/>
    <n v="2024"/>
    <n v="4000000"/>
    <n v="4000000"/>
    <n v="0"/>
    <n v="0"/>
    <n v="0"/>
    <s v="P24C850000013"/>
    <x v="0"/>
    <s v="SEARCH"/>
    <s v="Meli Fest"/>
    <s v="Meli Fest"/>
    <s v="OK"/>
    <s v="OK"/>
    <s v="OK"/>
  </r>
  <r>
    <x v="7"/>
    <s v="A24C850000532"/>
    <s v="T24C850000358"/>
    <x v="1"/>
    <d v="2024-04-01T00:00:00"/>
    <d v="2024-06-30T00:00:00"/>
    <n v="2024"/>
    <n v="1442666"/>
    <n v="0"/>
    <n v="1442666"/>
    <n v="1442666"/>
    <n v="0"/>
    <s v="P24C850000013"/>
    <x v="0"/>
    <s v="DISPLAY"/>
    <m/>
    <s v="AON"/>
    <s v="OK"/>
    <s v="OK"/>
    <m/>
  </r>
  <r>
    <x v="7"/>
    <s v="A24C850000532"/>
    <s v="T24C850000358"/>
    <x v="1"/>
    <d v="2024-04-01T00:00:00"/>
    <d v="2024-06-30T00:00:00"/>
    <n v="2024"/>
    <n v="4000000"/>
    <n v="0"/>
    <n v="4000000"/>
    <n v="4000000"/>
    <n v="0"/>
    <s v="P24C850000013"/>
    <x v="0"/>
    <s v="SEARCH"/>
    <m/>
    <s v="AON"/>
    <s v="OK"/>
    <s v="OK"/>
    <m/>
  </r>
  <r>
    <x v="7"/>
    <s v="A24C850000712"/>
    <s v="T24C850000515"/>
    <x v="0"/>
    <d v="2024-04-03T00:00:00"/>
    <d v="2024-07-31T00:00:00"/>
    <n v="2024"/>
    <n v="5000000"/>
    <n v="5000000"/>
    <n v="0"/>
    <n v="0"/>
    <n v="0"/>
    <s v="P24C850000013"/>
    <x v="0"/>
    <s v="DISPLAY"/>
    <s v="Lanzamiento A35_A55"/>
    <s v="Lanzamiento A35_A55"/>
    <s v="OK"/>
    <s v="OK"/>
    <s v="OK"/>
  </r>
  <r>
    <x v="7"/>
    <s v="A24C850000712"/>
    <s v="T24C850000515"/>
    <x v="0"/>
    <d v="2024-04-03T00:00:00"/>
    <d v="2024-07-31T00:00:00"/>
    <n v="2024"/>
    <n v="4000000"/>
    <n v="4000000"/>
    <n v="0"/>
    <n v="0"/>
    <n v="0"/>
    <s v="P24C850000013"/>
    <x v="0"/>
    <s v="SEARCH"/>
    <s v="Lanzamiento A35_A55"/>
    <s v="Lanzamiento A35_A55"/>
    <s v="OK"/>
    <s v="OK"/>
    <s v="OK"/>
  </r>
  <r>
    <x v="7"/>
    <s v="A24C850000541"/>
    <s v="T24C850000365"/>
    <x v="0"/>
    <d v="2024-05-01T00:00:00"/>
    <d v="2024-07-31T00:00:00"/>
    <n v="2024"/>
    <n v="0"/>
    <n v="0"/>
    <n v="0"/>
    <n v="0"/>
    <n v="0"/>
    <s v="P24C850000013"/>
    <x v="0"/>
    <s v="DISPLAY"/>
    <s v="Mal subido"/>
    <s v="Mal subido"/>
    <s v="OK"/>
    <s v="OK"/>
    <s v="OK"/>
  </r>
  <r>
    <x v="7"/>
    <s v="A24C850000541"/>
    <s v="T24C850000365"/>
    <x v="0"/>
    <d v="2024-05-01T00:00:00"/>
    <d v="2024-07-31T00:00:00"/>
    <n v="2024"/>
    <n v="0"/>
    <n v="0"/>
    <n v="0"/>
    <n v="0"/>
    <n v="0"/>
    <s v="P24C850000013"/>
    <x v="0"/>
    <s v="SEARCH"/>
    <s v="Mal subido"/>
    <s v="Mal subido"/>
    <s v="OK"/>
    <s v="OK"/>
    <s v="OK"/>
  </r>
  <r>
    <x v="7"/>
    <s v="A24C850001150"/>
    <s v="T24C850000880"/>
    <x v="1"/>
    <d v="2024-07-12T00:00:00"/>
    <d v="2024-09-30T00:00:00"/>
    <n v="2024"/>
    <n v="1500000"/>
    <n v="0"/>
    <n v="1500000"/>
    <n v="1183104"/>
    <n v="316896"/>
    <s v="P24C850000013"/>
    <x v="0"/>
    <s v="DISPLAY"/>
    <m/>
    <s v="AO + Samsung Week"/>
    <s v="OK"/>
    <s v="OK"/>
    <s v="OK"/>
  </r>
  <r>
    <x v="7"/>
    <s v="A24C850001150"/>
    <s v="T24C850000880"/>
    <x v="1"/>
    <d v="2024-07-12T00:00:00"/>
    <d v="2024-09-30T00:00:00"/>
    <n v="2024"/>
    <n v="4000000"/>
    <n v="0"/>
    <n v="4000000"/>
    <n v="4000000"/>
    <n v="0"/>
    <s v="P24C850000013"/>
    <x v="0"/>
    <s v="SEARCH"/>
    <m/>
    <s v="AO + Samsung Week"/>
    <s v="OK"/>
    <s v="OK"/>
    <s v="OK"/>
  </r>
  <r>
    <x v="7"/>
    <s v="A24C850001287"/>
    <s v="T24C850000952"/>
    <x v="1"/>
    <d v="2024-08-09T00:00:00"/>
    <d v="2024-11-30T00:00:00"/>
    <n v="2024"/>
    <n v="1867022"/>
    <n v="0"/>
    <n v="1867022"/>
    <n v="1867022"/>
    <n v="0"/>
    <s v="P24C850000013"/>
    <x v="0"/>
    <s v="DISPLAY"/>
    <m/>
    <s v="AO "/>
    <s v="OK"/>
    <s v="OK"/>
    <s v="OK"/>
  </r>
  <r>
    <x v="7"/>
    <s v="A24C850001287"/>
    <s v="T24C850000952"/>
    <x v="1"/>
    <d v="2024-08-09T00:00:00"/>
    <d v="2024-11-30T00:00:00"/>
    <n v="2024"/>
    <n v="13882978"/>
    <n v="0"/>
    <n v="13882978"/>
    <n v="0"/>
    <n v="13882978"/>
    <s v="P24C850000013"/>
    <x v="0"/>
    <s v="DISPLAY"/>
    <m/>
    <m/>
    <m/>
    <m/>
    <m/>
  </r>
  <r>
    <x v="7"/>
    <s v="A24C850001287"/>
    <s v="T24C850000952"/>
    <x v="1"/>
    <d v="2024-08-09T00:00:00"/>
    <d v="2024-11-30T00:00:00"/>
    <n v="2024"/>
    <n v="4000000"/>
    <n v="0"/>
    <n v="4000000"/>
    <n v="4000000"/>
    <n v="0"/>
    <s v="P24C850000013"/>
    <x v="0"/>
    <s v="SEARCH"/>
    <m/>
    <s v="AO "/>
    <s v="OK"/>
    <s v="OK"/>
    <s v="OK"/>
  </r>
  <r>
    <x v="7"/>
    <s v="A24C850001287"/>
    <s v="T24C850000952"/>
    <x v="1"/>
    <d v="2024-08-09T00:00:00"/>
    <d v="2024-11-30T00:00:00"/>
    <n v="2024"/>
    <n v="13750000"/>
    <n v="0"/>
    <n v="13750000"/>
    <n v="0"/>
    <n v="13750000"/>
    <s v="P24C850000013"/>
    <x v="0"/>
    <s v="SEARCH"/>
    <m/>
    <m/>
    <m/>
    <m/>
    <m/>
  </r>
  <r>
    <x v="7"/>
    <s v="A24C850001591"/>
    <s v="T24C850001148"/>
    <x v="1"/>
    <d v="2024-10-01T00:00:00"/>
    <d v="2024-12-31T00:00:00"/>
    <n v="2024"/>
    <n v="8000000"/>
    <n v="0"/>
    <n v="8000000"/>
    <n v="0"/>
    <n v="8000000"/>
    <s v="P24C850000012"/>
    <x v="1"/>
    <s v="SEARCH"/>
    <m/>
    <m/>
    <m/>
    <m/>
    <m/>
  </r>
  <r>
    <x v="7"/>
    <s v="A24C850001591"/>
    <s v="T24C850001148"/>
    <x v="1"/>
    <d v="2024-10-01T00:00:00"/>
    <d v="2024-12-31T00:00:00"/>
    <n v="2024"/>
    <n v="8000000"/>
    <n v="0"/>
    <n v="8000000"/>
    <n v="0"/>
    <n v="8000000"/>
    <s v="P24C850000012"/>
    <x v="1"/>
    <s v="SOCIAL ADS"/>
    <m/>
    <m/>
    <m/>
    <m/>
    <m/>
  </r>
  <r>
    <x v="7"/>
    <s v="A24C850001596"/>
    <s v="T24C850001152"/>
    <x v="1"/>
    <d v="2024-10-01T00:00:00"/>
    <d v="2024-12-31T00:00:00"/>
    <n v="2024"/>
    <n v="11000000"/>
    <n v="0"/>
    <n v="11000000"/>
    <n v="0"/>
    <n v="11000000"/>
    <s v="P24C850000013"/>
    <x v="0"/>
    <s v="SEARCH"/>
    <m/>
    <m/>
    <m/>
    <m/>
    <m/>
  </r>
  <r>
    <x v="7"/>
    <s v="A24C850001596"/>
    <s v="T24C850001152"/>
    <x v="1"/>
    <d v="2024-10-01T00:00:00"/>
    <d v="2024-12-31T00:00:00"/>
    <n v="2024"/>
    <n v="11000000"/>
    <n v="0"/>
    <n v="11000000"/>
    <n v="0"/>
    <n v="11000000"/>
    <s v="P24C850000013"/>
    <x v="0"/>
    <s v="SOCIAL ADS"/>
    <m/>
    <m/>
    <m/>
    <m/>
    <m/>
  </r>
  <r>
    <x v="7"/>
    <s v="A24C850001731"/>
    <s v="T24C850001255"/>
    <x v="1"/>
    <d v="2024-10-25T00:00:00"/>
    <d v="2024-12-31T00:00:00"/>
    <n v="2024"/>
    <n v="7500000"/>
    <n v="0"/>
    <n v="7500000"/>
    <n v="0"/>
    <n v="7500000"/>
    <s v="P24C850000013"/>
    <x v="0"/>
    <s v="DISPLAY"/>
    <m/>
    <m/>
    <m/>
    <m/>
    <m/>
  </r>
  <r>
    <x v="7"/>
    <s v="A24C850001731"/>
    <s v="T24C850001255"/>
    <x v="1"/>
    <d v="2024-10-25T00:00:00"/>
    <d v="2024-12-31T00:00:00"/>
    <n v="2024"/>
    <n v="7500000"/>
    <n v="0"/>
    <n v="7500000"/>
    <n v="0"/>
    <n v="7500000"/>
    <s v="P24C850000013"/>
    <x v="0"/>
    <s v="SEARCH"/>
    <m/>
    <m/>
    <m/>
    <m/>
    <m/>
  </r>
  <r>
    <x v="8"/>
    <s v="A24C850000150"/>
    <s v="T24C850000101"/>
    <x v="0"/>
    <d v="2024-01-12T00:00:00"/>
    <d v="2024-03-31T00:00:00"/>
    <n v="2024"/>
    <n v="2000000"/>
    <n v="2000000"/>
    <n v="0"/>
    <n v="0"/>
    <n v="0"/>
    <s v="P24C850000013"/>
    <x v="0"/>
    <s v="DISPLAY"/>
    <s v="Preventa_Lanzamiento S24"/>
    <s v="Preventa_Lanzamiento S24"/>
    <s v="OK"/>
    <s v="OK"/>
    <s v="OK"/>
  </r>
  <r>
    <x v="8"/>
    <s v="A24C850000150"/>
    <s v="T24C850000101"/>
    <x v="0"/>
    <d v="2024-01-12T00:00:00"/>
    <d v="2024-03-31T00:00:00"/>
    <n v="2024"/>
    <n v="3000000"/>
    <n v="3000000"/>
    <n v="0"/>
    <n v="0"/>
    <n v="0"/>
    <s v="P24C850000013"/>
    <x v="0"/>
    <s v="SOCIAL ADS"/>
    <s v="Preventa_Lanzamiento S24"/>
    <s v="Preventa_Lanzamiento S24"/>
    <s v="OK"/>
    <s v="OK"/>
    <s v="OK"/>
  </r>
  <r>
    <x v="8"/>
    <s v="A24C850000150"/>
    <s v="T24C850000101"/>
    <x v="0"/>
    <d v="2024-01-12T00:00:00"/>
    <d v="2024-03-31T00:00:00"/>
    <n v="2024"/>
    <n v="3000000"/>
    <n v="3000000"/>
    <n v="0"/>
    <n v="0"/>
    <n v="0"/>
    <s v="P24C850000013"/>
    <x v="0"/>
    <s v="SEARCH"/>
    <s v="Preventa_Lanzamiento S24"/>
    <s v="Preventa_Lanzamiento S24"/>
    <s v="OK"/>
    <s v="OK"/>
    <s v="OK"/>
  </r>
  <r>
    <x v="8"/>
    <s v="A24C850000381"/>
    <s v="T24C850000262"/>
    <x v="1"/>
    <d v="2024-02-15T00:00:00"/>
    <d v="2024-05-31T00:00:00"/>
    <n v="2024"/>
    <n v="2000000"/>
    <n v="0"/>
    <n v="2000000"/>
    <n v="2000000"/>
    <n v="0"/>
    <s v="P24C850000012"/>
    <x v="1"/>
    <s v="SEARCH"/>
    <m/>
    <s v="Samsung Week"/>
    <m/>
    <m/>
    <m/>
  </r>
  <r>
    <x v="8"/>
    <s v="A24C850000380"/>
    <s v="T24C850000270"/>
    <x v="0"/>
    <d v="2024-02-15T00:00:00"/>
    <d v="2024-05-31T00:00:00"/>
    <n v="2024"/>
    <n v="3500000"/>
    <n v="1247783"/>
    <n v="2252217"/>
    <n v="0"/>
    <n v="0"/>
    <s v="P24C850000014"/>
    <x v="2"/>
    <s v="SEARCH"/>
    <s v="Especial Computación "/>
    <s v="Especial Computación "/>
    <s v="OK"/>
    <s v="OK"/>
    <s v="OK"/>
  </r>
  <r>
    <x v="8"/>
    <s v="A24C850000712"/>
    <s v="T24C850000513"/>
    <x v="0"/>
    <d v="2024-04-03T00:00:00"/>
    <d v="2024-07-31T00:00:00"/>
    <n v="2024"/>
    <n v="2000000"/>
    <n v="2000000"/>
    <n v="0"/>
    <n v="0"/>
    <n v="0"/>
    <s v="P24C850000013"/>
    <x v="0"/>
    <s v="DISPLAY"/>
    <s v="Lanzamiento A35_A55"/>
    <s v="Lanzamiento A35_A55"/>
    <s v="OK"/>
    <s v="OK"/>
    <s v="OK"/>
  </r>
  <r>
    <x v="8"/>
    <s v="A24C850000712"/>
    <s v="T24C850000513"/>
    <x v="0"/>
    <d v="2024-04-03T00:00:00"/>
    <d v="2024-07-31T00:00:00"/>
    <n v="2024"/>
    <n v="3000000"/>
    <n v="3000000"/>
    <n v="0"/>
    <n v="0"/>
    <n v="0"/>
    <s v="P24C850000013"/>
    <x v="0"/>
    <s v="SEARCH"/>
    <s v="Lanzamiento A35_A55"/>
    <s v="Lanzamiento A35_A55"/>
    <s v="OK"/>
    <s v="OK"/>
    <s v="OK"/>
  </r>
  <r>
    <x v="8"/>
    <s v="A24C850000877"/>
    <s v="T24C850000628"/>
    <x v="1"/>
    <d v="2024-05-15T00:00:00"/>
    <d v="2024-08-31T00:00:00"/>
    <n v="2024"/>
    <n v="1000000"/>
    <n v="0"/>
    <n v="1000000"/>
    <n v="1000000"/>
    <n v="0"/>
    <s v="P24C850000012"/>
    <x v="1"/>
    <s v="DISPLAY"/>
    <m/>
    <s v="Cyber"/>
    <s v="OK"/>
    <s v="OK"/>
    <m/>
  </r>
  <r>
    <x v="8"/>
    <s v="A24C850000877"/>
    <s v="T24C850000628"/>
    <x v="1"/>
    <d v="2024-05-15T00:00:00"/>
    <d v="2024-08-31T00:00:00"/>
    <n v="2024"/>
    <n v="2000000"/>
    <n v="0"/>
    <n v="2000000"/>
    <n v="2000000"/>
    <n v="0"/>
    <s v="P24C850000012"/>
    <x v="1"/>
    <s v="SEARCH"/>
    <m/>
    <s v="Cyber"/>
    <s v="OK"/>
    <s v="OK"/>
    <m/>
  </r>
  <r>
    <x v="8"/>
    <s v="A24C850000870"/>
    <s v="T24C850000635"/>
    <x v="1"/>
    <d v="2024-05-25T00:00:00"/>
    <d v="2024-07-31T00:00:00"/>
    <n v="2024"/>
    <n v="2000000"/>
    <n v="0"/>
    <n v="2000000"/>
    <n v="0"/>
    <n v="2000000"/>
    <s v="P24C850000013"/>
    <x v="0"/>
    <s v="SEARCH"/>
    <s v="Cerrar"/>
    <m/>
    <m/>
    <m/>
    <m/>
  </r>
  <r>
    <x v="8"/>
    <s v="A24C850000881"/>
    <s v="T24C850000648"/>
    <x v="1"/>
    <d v="2024-05-25T00:00:00"/>
    <d v="2024-08-31T00:00:00"/>
    <n v="2024"/>
    <n v="2000000"/>
    <n v="0"/>
    <n v="2000000"/>
    <n v="2000000"/>
    <n v="0"/>
    <s v="P24C850000015"/>
    <x v="3"/>
    <s v="SEARCH"/>
    <m/>
    <s v="Cyber"/>
    <s v="OK"/>
    <s v="OK"/>
    <m/>
  </r>
  <r>
    <x v="8"/>
    <s v="A24C850000931"/>
    <s v="T24C850000674"/>
    <x v="1"/>
    <d v="2024-05-30T00:00:00"/>
    <d v="2024-06-30T00:00:00"/>
    <n v="2024"/>
    <n v="1000000"/>
    <n v="0"/>
    <n v="1000000"/>
    <n v="1000000"/>
    <n v="0"/>
    <s v="P24C850000014"/>
    <x v="2"/>
    <s v="DISPLAY"/>
    <m/>
    <s v="Cyber"/>
    <s v="OK"/>
    <s v="OK"/>
    <s v="OK"/>
  </r>
  <r>
    <x v="8"/>
    <s v="A24C850000931"/>
    <s v="T24C850000674"/>
    <x v="1"/>
    <d v="2024-05-30T00:00:00"/>
    <d v="2024-06-30T00:00:00"/>
    <n v="2024"/>
    <n v="1000000"/>
    <n v="0"/>
    <n v="1000000"/>
    <n v="1000000"/>
    <n v="0"/>
    <s v="P24C850000014"/>
    <x v="2"/>
    <s v="SEARCH"/>
    <m/>
    <s v="Cyber"/>
    <s v="OK"/>
    <s v="OK"/>
    <s v="OK"/>
  </r>
  <r>
    <x v="8"/>
    <s v="A24C850000882"/>
    <s v="T24C850000613"/>
    <x v="1"/>
    <d v="2024-06-01T00:00:00"/>
    <d v="2024-08-31T00:00:00"/>
    <n v="2024"/>
    <n v="1000000"/>
    <n v="0"/>
    <n v="1000000"/>
    <n v="0"/>
    <n v="1000000"/>
    <s v="P24C850000014"/>
    <x v="2"/>
    <s v="DISPLAY"/>
    <s v="Cerrar"/>
    <m/>
    <m/>
    <m/>
    <m/>
  </r>
  <r>
    <x v="8"/>
    <s v="A24C850000882"/>
    <s v="T24C850000613"/>
    <x v="1"/>
    <d v="2024-06-01T00:00:00"/>
    <d v="2024-08-31T00:00:00"/>
    <n v="2024"/>
    <n v="1000000"/>
    <n v="0"/>
    <n v="1000000"/>
    <n v="0"/>
    <n v="1000000"/>
    <s v="P24C850000014"/>
    <x v="2"/>
    <s v="SEARCH"/>
    <s v="Cerrar"/>
    <m/>
    <m/>
    <m/>
    <m/>
  </r>
  <r>
    <x v="8"/>
    <s v="A24C850000876"/>
    <s v="T24C850000641"/>
    <x v="1"/>
    <d v="2024-06-01T00:00:00"/>
    <d v="2024-08-31T00:00:00"/>
    <n v="2024"/>
    <n v="2000000"/>
    <n v="0"/>
    <n v="2000000"/>
    <n v="2000000"/>
    <n v="0"/>
    <s v="P24C850000013"/>
    <x v="0"/>
    <s v="SEARCH"/>
    <m/>
    <s v="Cyber"/>
    <s v="OK"/>
    <s v="OK"/>
    <m/>
  </r>
  <r>
    <x v="9"/>
    <s v="A24C850000150"/>
    <s v="T24C850000098"/>
    <x v="1"/>
    <d v="2024-01-12T00:00:00"/>
    <d v="2024-03-31T00:00:00"/>
    <n v="2024"/>
    <n v="2000000"/>
    <n v="0"/>
    <n v="2000000"/>
    <n v="0"/>
    <n v="2000000"/>
    <s v="P24C850000013"/>
    <x v="0"/>
    <s v="SOCIAL ADS"/>
    <s v="Cerrar"/>
    <m/>
    <m/>
    <m/>
    <m/>
  </r>
  <r>
    <x v="9"/>
    <s v="A24C850000150"/>
    <s v="T24C850000098"/>
    <x v="1"/>
    <d v="2024-01-12T00:00:00"/>
    <d v="2024-03-31T00:00:00"/>
    <n v="2024"/>
    <n v="2000000"/>
    <n v="0"/>
    <n v="2000000"/>
    <n v="0"/>
    <n v="2000000"/>
    <s v="P24C850000013"/>
    <x v="0"/>
    <s v="SEARCH"/>
    <s v="Cerrar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">
  <r>
    <s v="Falabella Retail S.A."/>
    <x v="0"/>
    <x v="0"/>
    <x v="0"/>
    <n v="1009275"/>
    <n v="1009275"/>
    <n v="0"/>
    <s v="NPC"/>
    <s v="DISPLAY"/>
  </r>
  <r>
    <s v="Falabella Retail S.A."/>
    <x v="1"/>
    <x v="1"/>
    <x v="1"/>
    <n v="3000000"/>
    <n v="3000000"/>
    <n v="0"/>
    <s v="WEARABLES"/>
    <s v="SEARCH"/>
  </r>
  <r>
    <s v="Falabella Retail S.A."/>
    <x v="2"/>
    <x v="2"/>
    <x v="1"/>
    <n v="2000000"/>
    <n v="2000000"/>
    <n v="0"/>
    <s v="TABLET"/>
    <s v="DISPLAY"/>
  </r>
  <r>
    <s v="Falabella Retail S.A."/>
    <x v="3"/>
    <x v="3"/>
    <x v="2"/>
    <n v="3000000"/>
    <n v="3000000"/>
    <n v="0"/>
    <s v="HHP"/>
    <s v="SOCIAL ADS"/>
  </r>
  <r>
    <s v="Falabella Retail S.A."/>
    <x v="3"/>
    <x v="3"/>
    <x v="2"/>
    <n v="3000000"/>
    <n v="3000000"/>
    <n v="0"/>
    <s v="HHP"/>
    <s v="DISPLAY"/>
  </r>
  <r>
    <s v="Falabella Retail S.A."/>
    <x v="4"/>
    <x v="4"/>
    <x v="1"/>
    <n v="4000000"/>
    <n v="4000000"/>
    <n v="0"/>
    <s v="HHP"/>
    <s v="SEARCH"/>
  </r>
  <r>
    <s v="Falabella Retail S.A."/>
    <x v="5"/>
    <x v="5"/>
    <x v="3"/>
    <n v="6000000"/>
    <n v="6000000"/>
    <n v="0"/>
    <s v="HHP"/>
    <s v="SEARCH"/>
  </r>
  <r>
    <s v="Falabella Retail S.A."/>
    <x v="5"/>
    <x v="5"/>
    <x v="3"/>
    <n v="6000000"/>
    <n v="6000000"/>
    <n v="0"/>
    <s v="HHP"/>
    <s v="SOCIAL ADS"/>
  </r>
  <r>
    <s v="Falabella Retail S.A."/>
    <x v="6"/>
    <x v="5"/>
    <x v="3"/>
    <n v="5765076"/>
    <n v="5765076"/>
    <n v="0"/>
    <s v="HHP"/>
    <s v="SEARCH"/>
  </r>
  <r>
    <s v="Falabella Retail S.A."/>
    <x v="6"/>
    <x v="5"/>
    <x v="3"/>
    <n v="6500000"/>
    <n v="6500000"/>
    <n v="0"/>
    <s v="HHP"/>
    <s v="SOCIAL ADS"/>
  </r>
  <r>
    <s v="Falabella Retail S.A."/>
    <x v="7"/>
    <x v="6"/>
    <x v="4"/>
    <n v="47396000"/>
    <n v="36000000"/>
    <n v="11396000"/>
    <s v="NPC"/>
    <s v="SEARCH"/>
  </r>
  <r>
    <s v="Falabella Retail S.A."/>
    <x v="8"/>
    <x v="7"/>
    <x v="5"/>
    <n v="9104000"/>
    <n v="9104000"/>
    <n v="0"/>
    <s v="TABLET"/>
    <s v="SEARCH"/>
  </r>
  <r>
    <s v="Falabella Retail S.A."/>
    <x v="9"/>
    <x v="7"/>
    <x v="5"/>
    <n v="3094000"/>
    <n v="1990725"/>
    <n v="1103275"/>
    <s v="TABLET"/>
    <s v="SEARCH"/>
  </r>
  <r>
    <s v="Falabella Retail S.A."/>
    <x v="10"/>
    <x v="7"/>
    <x v="5"/>
    <n v="17197500"/>
    <n v="5870924"/>
    <n v="11326576"/>
    <s v="HHP"/>
    <s v="DISPLAY"/>
  </r>
  <r>
    <s v="Falabella Retail S.A."/>
    <x v="11"/>
    <x v="7"/>
    <x v="5"/>
    <n v="21197500"/>
    <n v="21197500"/>
    <n v="0"/>
    <s v="HHP"/>
    <s v="SEARCH"/>
  </r>
  <r>
    <s v="Falabella Retail S.A."/>
    <x v="12"/>
    <x v="8"/>
    <x v="5"/>
    <n v="5000000"/>
    <n v="5000000"/>
    <n v="0"/>
    <s v="HHP"/>
    <s v="DISPLAY"/>
  </r>
  <r>
    <s v="Falabella Retail S.A."/>
    <x v="12"/>
    <x v="8"/>
    <x v="5"/>
    <n v="8616683"/>
    <n v="8616683"/>
    <n v="0"/>
    <s v="HHP"/>
    <s v="SEAR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F18" firstHeaderRow="2" firstDataRow="2" firstDataCol="5"/>
  <pivotFields count="11">
    <pivotField compact="0" outline="0" showAll="0"/>
    <pivotField axis="axisRow" compact="0" outline="0" showAll="0" defaultSubtotal="0">
      <items count="13">
        <item x="0"/>
        <item x="2"/>
        <item x="1"/>
        <item x="3"/>
        <item x="4"/>
        <item x="5"/>
        <item x="6"/>
        <item x="7"/>
        <item x="8"/>
        <item x="9"/>
        <item x="11"/>
        <item x="10"/>
        <item x="12"/>
      </items>
    </pivotField>
    <pivotField axis="axisRow"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numFmtId="164" outline="0" showAll="0"/>
    <pivotField dataField="1" compact="0" numFmtId="164" outline="0" showAll="0"/>
    <pivotField compact="0" numFmtId="164" outline="0" showAll="0"/>
    <pivotField compact="0" outline="0" showAll="0"/>
    <pivotField compact="0" outline="0" showAl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5">
    <field x="1"/>
    <field x="9"/>
    <field x="2"/>
    <field x="10"/>
    <field x="3"/>
  </rowFields>
  <rowItems count="14">
    <i>
      <x/>
      <x v="3"/>
      <x v="91"/>
      <x v="6"/>
      <x v="182"/>
    </i>
    <i>
      <x v="1"/>
      <x v="6"/>
      <x v="153"/>
      <x v="8"/>
      <x v="244"/>
    </i>
    <i>
      <x v="2"/>
      <x v="5"/>
      <x v="146"/>
      <x v="8"/>
      <x v="244"/>
    </i>
    <i>
      <x v="3"/>
      <x v="6"/>
      <x v="154"/>
      <x v="6"/>
      <x v="167"/>
    </i>
    <i>
      <x v="4"/>
      <x v="6"/>
      <x v="164"/>
      <x v="8"/>
      <x v="244"/>
    </i>
    <i>
      <x v="5"/>
      <x v="6"/>
      <x v="182"/>
      <x v="9"/>
      <x v="274"/>
    </i>
    <i>
      <x v="6"/>
      <x v="6"/>
      <x v="182"/>
      <x v="9"/>
      <x v="274"/>
    </i>
    <i>
      <x v="7"/>
      <x v="7"/>
      <x v="213"/>
      <x v="12"/>
      <x v="366"/>
    </i>
    <i>
      <x v="8"/>
      <x v="8"/>
      <x v="222"/>
      <x v="11"/>
      <x v="335"/>
    </i>
    <i>
      <x v="9"/>
      <x v="8"/>
      <x v="222"/>
      <x v="11"/>
      <x v="335"/>
    </i>
    <i>
      <x v="10"/>
      <x v="8"/>
      <x v="222"/>
      <x v="11"/>
      <x v="335"/>
    </i>
    <i>
      <x v="11"/>
      <x v="8"/>
      <x v="222"/>
      <x v="11"/>
      <x v="335"/>
    </i>
    <i>
      <x v="12"/>
      <x v="8"/>
      <x v="236"/>
      <x v="11"/>
      <x v="335"/>
    </i>
    <i t="grand">
      <x/>
    </i>
  </rowItems>
  <colItems count="1">
    <i/>
  </colItems>
  <dataFields count="1">
    <dataField name="Sum of Comprometido Retai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5" firstHeaderRow="1" firstDataRow="2" firstDataCol="1" rowPageCount="1" colPageCount="1"/>
  <pivotFields count="20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numFmtId="14" showAll="0"/>
    <pivotField numFmtId="14"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pageFields count="1">
    <pageField fld="3" item="1" hier="-1"/>
  </pageFields>
  <dataFields count="1">
    <dataField name="Sum of Disponible Retail" fld="11" baseField="0" baseItem="0" numFmtId="167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2"/>
  <sheetViews>
    <sheetView topLeftCell="A19" zoomScale="80" zoomScaleNormal="80" workbookViewId="0">
      <selection activeCell="K46" sqref="K46:M48"/>
    </sheetView>
  </sheetViews>
  <sheetFormatPr defaultColWidth="8.88671875" defaultRowHeight="14.4" x14ac:dyDescent="0.3"/>
  <cols>
    <col min="2" max="2" width="14.44140625" bestFit="1" customWidth="1"/>
    <col min="4" max="4" width="15.33203125" customWidth="1"/>
    <col min="5" max="5" width="11.5546875" customWidth="1"/>
    <col min="6" max="6" width="14.33203125" bestFit="1" customWidth="1"/>
    <col min="7" max="7" width="16.5546875" customWidth="1"/>
    <col min="8" max="9" width="19" bestFit="1" customWidth="1"/>
    <col min="10" max="10" width="14.5546875" customWidth="1"/>
    <col min="11" max="11" width="12.44140625" customWidth="1"/>
    <col min="12" max="12" width="16.88671875" bestFit="1" customWidth="1"/>
    <col min="13" max="13" width="15.6640625" bestFit="1" customWidth="1"/>
    <col min="14" max="14" width="21.6640625" customWidth="1"/>
    <col min="15" max="15" width="13.5546875" bestFit="1" customWidth="1"/>
    <col min="16" max="16" width="14.5546875" customWidth="1"/>
    <col min="17" max="17" width="15.109375" bestFit="1" customWidth="1"/>
    <col min="18" max="18" width="12.33203125" bestFit="1" customWidth="1"/>
    <col min="25" max="25" width="12.6640625" bestFit="1" customWidth="1"/>
  </cols>
  <sheetData>
    <row r="1" spans="2:16" x14ac:dyDescent="0.3">
      <c r="F1" s="5"/>
      <c r="G1" t="s">
        <v>0</v>
      </c>
    </row>
    <row r="2" spans="2:16" x14ac:dyDescent="0.3">
      <c r="F2" s="7"/>
      <c r="G2" t="s">
        <v>1</v>
      </c>
    </row>
    <row r="3" spans="2:16" ht="15" thickBot="1" x14ac:dyDescent="0.35">
      <c r="F3" s="8"/>
      <c r="G3" t="s">
        <v>2</v>
      </c>
    </row>
    <row r="4" spans="2:16" ht="15" thickBot="1" x14ac:dyDescent="0.35">
      <c r="D4" s="74" t="s">
        <v>3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6"/>
    </row>
    <row r="5" spans="2:16" x14ac:dyDescent="0.3">
      <c r="D5" s="71" t="s">
        <v>4</v>
      </c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3"/>
    </row>
    <row r="6" spans="2:16" ht="15" thickBot="1" x14ac:dyDescent="0.35">
      <c r="D6" s="9">
        <f>+SUM(D9:D23)</f>
        <v>0</v>
      </c>
      <c r="E6" s="10">
        <f>+SUM(E9:E23)</f>
        <v>0</v>
      </c>
      <c r="F6" s="10">
        <f t="shared" ref="F6:P6" si="0">+SUM(F9:F23)</f>
        <v>0</v>
      </c>
      <c r="G6" s="10">
        <f t="shared" si="0"/>
        <v>0</v>
      </c>
      <c r="H6" s="10">
        <f t="shared" si="0"/>
        <v>15000000</v>
      </c>
      <c r="I6" s="10">
        <f t="shared" si="0"/>
        <v>0</v>
      </c>
      <c r="J6" s="10">
        <f t="shared" si="0"/>
        <v>0</v>
      </c>
      <c r="K6" s="10">
        <f t="shared" si="0"/>
        <v>15000000</v>
      </c>
      <c r="L6" s="10">
        <f t="shared" si="0"/>
        <v>114913573</v>
      </c>
      <c r="M6" s="10">
        <f t="shared" si="0"/>
        <v>46956156</v>
      </c>
      <c r="N6" s="10">
        <f t="shared" si="0"/>
        <v>0</v>
      </c>
      <c r="O6" s="10">
        <f t="shared" si="0"/>
        <v>0</v>
      </c>
      <c r="P6" s="10">
        <f t="shared" si="0"/>
        <v>191869729</v>
      </c>
    </row>
    <row r="7" spans="2:16" x14ac:dyDescent="0.3">
      <c r="C7">
        <v>2023</v>
      </c>
      <c r="D7" s="11" t="s">
        <v>5</v>
      </c>
      <c r="E7" s="11" t="s">
        <v>6</v>
      </c>
      <c r="F7" s="11" t="s">
        <v>7</v>
      </c>
      <c r="G7" s="11" t="s">
        <v>8</v>
      </c>
      <c r="H7" s="11" t="s">
        <v>9</v>
      </c>
      <c r="I7" s="11" t="s">
        <v>10</v>
      </c>
      <c r="J7" s="12" t="s">
        <v>11</v>
      </c>
      <c r="K7" s="11" t="s">
        <v>12</v>
      </c>
      <c r="L7" s="11" t="s">
        <v>13</v>
      </c>
      <c r="M7" s="11" t="s">
        <v>14</v>
      </c>
      <c r="N7" s="11" t="s">
        <v>15</v>
      </c>
      <c r="O7" s="11" t="s">
        <v>16</v>
      </c>
      <c r="P7" s="11" t="s">
        <v>17</v>
      </c>
    </row>
    <row r="8" spans="2:16" x14ac:dyDescent="0.3">
      <c r="D8" s="11"/>
      <c r="E8" s="11"/>
      <c r="F8" s="11"/>
      <c r="G8" s="11"/>
      <c r="H8" s="11"/>
      <c r="I8" s="11"/>
      <c r="J8" s="12"/>
      <c r="K8" s="11"/>
      <c r="L8" s="11"/>
      <c r="M8" s="11"/>
      <c r="N8" s="11"/>
      <c r="O8" s="11"/>
      <c r="P8" s="11"/>
    </row>
    <row r="9" spans="2:16" ht="13.95" customHeight="1" x14ac:dyDescent="0.3">
      <c r="B9" t="s">
        <v>18</v>
      </c>
      <c r="C9" t="s">
        <v>19</v>
      </c>
      <c r="D9" s="13">
        <v>0</v>
      </c>
      <c r="E9" s="13">
        <v>0</v>
      </c>
      <c r="F9" s="13">
        <v>0</v>
      </c>
      <c r="G9" s="13">
        <v>0</v>
      </c>
      <c r="H9" s="13">
        <v>15000000</v>
      </c>
      <c r="I9" s="13">
        <v>0</v>
      </c>
      <c r="J9" s="13">
        <v>0</v>
      </c>
      <c r="K9" s="13">
        <v>15000000</v>
      </c>
      <c r="L9" s="13">
        <f>4007830+9771163</f>
        <v>13778993</v>
      </c>
      <c r="M9" s="34">
        <v>5715460</v>
      </c>
      <c r="N9" s="13">
        <v>0</v>
      </c>
      <c r="O9" s="13">
        <v>0</v>
      </c>
      <c r="P9" s="14">
        <f>+SUM(D9:O9)</f>
        <v>49494453</v>
      </c>
    </row>
    <row r="10" spans="2:16" ht="13.95" customHeight="1" x14ac:dyDescent="0.3">
      <c r="B10" t="s">
        <v>20</v>
      </c>
      <c r="C10" t="s">
        <v>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f>4918641+2941600</f>
        <v>7860241</v>
      </c>
      <c r="M10" s="34">
        <v>3119380</v>
      </c>
      <c r="N10" s="13">
        <v>0</v>
      </c>
      <c r="O10" s="13">
        <v>0</v>
      </c>
      <c r="P10" s="14">
        <f t="shared" ref="P10:P24" si="1">+SUM(D10:O10)</f>
        <v>10979621</v>
      </c>
    </row>
    <row r="11" spans="2:16" x14ac:dyDescent="0.3">
      <c r="B11" t="s">
        <v>21</v>
      </c>
      <c r="C11" t="s">
        <v>19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f>3466179+17407258</f>
        <v>20873437</v>
      </c>
      <c r="M11" s="34">
        <v>8975027</v>
      </c>
      <c r="N11" s="13">
        <v>0</v>
      </c>
      <c r="O11" s="13">
        <v>0</v>
      </c>
      <c r="P11" s="14">
        <f t="shared" si="1"/>
        <v>29848464</v>
      </c>
    </row>
    <row r="12" spans="2:16" x14ac:dyDescent="0.3">
      <c r="B12" t="s">
        <v>22</v>
      </c>
      <c r="C12" t="s">
        <v>19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f>2905190+1741502</f>
        <v>4646692</v>
      </c>
      <c r="M12" s="34">
        <v>1219607</v>
      </c>
      <c r="N12" s="13">
        <v>0</v>
      </c>
      <c r="O12" s="13">
        <v>0</v>
      </c>
      <c r="P12" s="14">
        <f t="shared" si="1"/>
        <v>5866299</v>
      </c>
    </row>
    <row r="13" spans="2:16" x14ac:dyDescent="0.3">
      <c r="B13" t="s">
        <v>23</v>
      </c>
      <c r="C13" t="s">
        <v>19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13820000</v>
      </c>
      <c r="M13" s="34">
        <f>3180000+5000000</f>
        <v>8180000</v>
      </c>
      <c r="N13" s="13">
        <v>0</v>
      </c>
      <c r="O13" s="13">
        <v>0</v>
      </c>
      <c r="P13" s="14">
        <f t="shared" si="1"/>
        <v>22000000</v>
      </c>
    </row>
    <row r="14" spans="2:16" x14ac:dyDescent="0.3">
      <c r="B14" t="s">
        <v>24</v>
      </c>
      <c r="C14" t="s">
        <v>19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9029800</v>
      </c>
      <c r="M14" s="34">
        <v>970200</v>
      </c>
      <c r="N14" s="13">
        <v>0</v>
      </c>
      <c r="O14" s="13">
        <v>0</v>
      </c>
      <c r="P14" s="14">
        <f t="shared" si="1"/>
        <v>10000000</v>
      </c>
    </row>
    <row r="15" spans="2:16" x14ac:dyDescent="0.3">
      <c r="B15" t="s">
        <v>25</v>
      </c>
      <c r="C15" t="s">
        <v>19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34">
        <v>5000000</v>
      </c>
      <c r="N15" s="13">
        <v>0</v>
      </c>
      <c r="O15" s="13">
        <v>0</v>
      </c>
      <c r="P15" s="14">
        <f t="shared" si="1"/>
        <v>5000000</v>
      </c>
    </row>
    <row r="16" spans="2:16" x14ac:dyDescent="0.3">
      <c r="B16" t="s">
        <v>26</v>
      </c>
      <c r="C16" t="s">
        <v>19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2710200</v>
      </c>
      <c r="M16" s="34">
        <f>289800+1500000</f>
        <v>1789800</v>
      </c>
      <c r="N16" s="13">
        <v>0</v>
      </c>
      <c r="O16" s="13">
        <v>0</v>
      </c>
      <c r="P16" s="14">
        <f t="shared" si="1"/>
        <v>4500000</v>
      </c>
    </row>
    <row r="17" spans="2:16" x14ac:dyDescent="0.3">
      <c r="B17" t="s">
        <v>27</v>
      </c>
      <c r="C17" t="s">
        <v>19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f>4800000+11000000</f>
        <v>15800000</v>
      </c>
      <c r="M17" s="34">
        <v>0</v>
      </c>
      <c r="N17" s="13">
        <v>0</v>
      </c>
      <c r="O17" s="13">
        <v>0</v>
      </c>
      <c r="P17" s="14">
        <f t="shared" si="1"/>
        <v>15800000</v>
      </c>
    </row>
    <row r="18" spans="2:16" x14ac:dyDescent="0.3">
      <c r="B18" t="s">
        <v>28</v>
      </c>
      <c r="C18" t="s">
        <v>19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f>4970831+5000000</f>
        <v>9970831</v>
      </c>
      <c r="M18" s="34">
        <v>0</v>
      </c>
      <c r="N18" s="13">
        <v>0</v>
      </c>
      <c r="O18" s="13">
        <v>0</v>
      </c>
      <c r="P18" s="14">
        <f t="shared" si="1"/>
        <v>9970831</v>
      </c>
    </row>
    <row r="19" spans="2:16" x14ac:dyDescent="0.3">
      <c r="B19" t="s">
        <v>29</v>
      </c>
      <c r="C19" t="s">
        <v>19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f>1961836+4196559</f>
        <v>6158395</v>
      </c>
      <c r="M19" s="34">
        <v>0</v>
      </c>
      <c r="N19" s="13">
        <v>0</v>
      </c>
      <c r="O19" s="13">
        <v>0</v>
      </c>
      <c r="P19" s="14">
        <f t="shared" si="1"/>
        <v>6158395</v>
      </c>
    </row>
    <row r="20" spans="2:16" x14ac:dyDescent="0.3">
      <c r="B20" t="s">
        <v>30</v>
      </c>
      <c r="C20" t="s">
        <v>19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f>1474584+1000000</f>
        <v>2474584</v>
      </c>
      <c r="M20" s="34">
        <v>0</v>
      </c>
      <c r="N20" s="13">
        <v>0</v>
      </c>
      <c r="O20" s="13">
        <v>0</v>
      </c>
      <c r="P20" s="14">
        <f t="shared" si="1"/>
        <v>2474584</v>
      </c>
    </row>
    <row r="21" spans="2:16" x14ac:dyDescent="0.3">
      <c r="B21" t="s">
        <v>31</v>
      </c>
      <c r="C21" t="s">
        <v>19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3790400</v>
      </c>
      <c r="M21" s="34">
        <v>0</v>
      </c>
      <c r="N21" s="13">
        <v>0</v>
      </c>
      <c r="O21" s="13">
        <v>0</v>
      </c>
      <c r="P21" s="14">
        <f t="shared" si="1"/>
        <v>3790400</v>
      </c>
    </row>
    <row r="22" spans="2:16" x14ac:dyDescent="0.3">
      <c r="B22" t="s">
        <v>32</v>
      </c>
      <c r="C22" t="s">
        <v>19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34">
        <v>1987618</v>
      </c>
      <c r="N22" s="13">
        <v>0</v>
      </c>
      <c r="O22" s="13">
        <v>0</v>
      </c>
      <c r="P22" s="14">
        <f t="shared" si="1"/>
        <v>1987618</v>
      </c>
    </row>
    <row r="23" spans="2:16" x14ac:dyDescent="0.3">
      <c r="B23" t="s">
        <v>33</v>
      </c>
      <c r="C23" t="s">
        <v>19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4000000</v>
      </c>
      <c r="M23" s="34">
        <v>9999064</v>
      </c>
      <c r="N23" s="13">
        <v>0</v>
      </c>
      <c r="O23" s="13">
        <v>0</v>
      </c>
      <c r="P23" s="14">
        <f t="shared" si="1"/>
        <v>13999064</v>
      </c>
    </row>
    <row r="24" spans="2:16" x14ac:dyDescent="0.3">
      <c r="B24" t="s">
        <v>34</v>
      </c>
      <c r="C24" t="s">
        <v>19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3000000</v>
      </c>
      <c r="M24" s="34">
        <v>20000000</v>
      </c>
      <c r="N24" s="13">
        <v>0</v>
      </c>
      <c r="O24" s="13">
        <v>0</v>
      </c>
      <c r="P24" s="14">
        <f t="shared" si="1"/>
        <v>23000000</v>
      </c>
    </row>
    <row r="25" spans="2:16" x14ac:dyDescent="0.3">
      <c r="G25" s="6"/>
      <c r="H25" s="6"/>
      <c r="I25" s="6"/>
      <c r="J25" s="15"/>
      <c r="K25" s="15"/>
      <c r="L25" s="15"/>
      <c r="M25" s="15"/>
      <c r="N25" s="15"/>
      <c r="O25" s="15"/>
      <c r="P25" s="15"/>
    </row>
    <row r="26" spans="2:16" x14ac:dyDescent="0.3">
      <c r="G26" s="6"/>
      <c r="H26" s="6"/>
      <c r="I26" s="6"/>
      <c r="J26" s="15"/>
      <c r="K26" s="15"/>
      <c r="L26" s="15"/>
      <c r="M26" s="15"/>
      <c r="N26" s="15"/>
      <c r="O26" s="15"/>
      <c r="P26" s="15"/>
    </row>
    <row r="27" spans="2:16" x14ac:dyDescent="0.3">
      <c r="G27" s="6"/>
      <c r="H27" s="6"/>
      <c r="I27" s="6"/>
      <c r="J27" s="15"/>
      <c r="K27" s="15"/>
      <c r="L27" s="15"/>
      <c r="M27" s="15"/>
      <c r="N27" s="15"/>
      <c r="O27" s="15"/>
      <c r="P27" s="15"/>
    </row>
    <row r="28" spans="2:16" x14ac:dyDescent="0.3">
      <c r="G28" s="6"/>
      <c r="H28" s="6"/>
      <c r="I28" s="6"/>
      <c r="J28" s="15"/>
      <c r="K28" s="15"/>
      <c r="L28" s="15"/>
      <c r="M28" s="15"/>
      <c r="N28" s="15"/>
      <c r="O28" s="15"/>
      <c r="P28" s="15"/>
    </row>
    <row r="29" spans="2:16" x14ac:dyDescent="0.3">
      <c r="F29" s="5"/>
      <c r="G29" t="s">
        <v>0</v>
      </c>
    </row>
    <row r="30" spans="2:16" x14ac:dyDescent="0.3">
      <c r="F30" s="7"/>
      <c r="G30" t="s">
        <v>1</v>
      </c>
    </row>
    <row r="31" spans="2:16" ht="15" thickBot="1" x14ac:dyDescent="0.35">
      <c r="F31" s="8"/>
      <c r="G31" t="s">
        <v>35</v>
      </c>
    </row>
    <row r="32" spans="2:16" ht="15" thickBot="1" x14ac:dyDescent="0.35">
      <c r="D32" s="74" t="s">
        <v>36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6"/>
    </row>
    <row r="33" spans="2:18" x14ac:dyDescent="0.3">
      <c r="D33" s="71" t="s">
        <v>4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</row>
    <row r="34" spans="2:18" ht="15" thickBot="1" x14ac:dyDescent="0.35">
      <c r="D34" s="9">
        <f>+SUM(D37:D52)</f>
        <v>0</v>
      </c>
      <c r="E34" s="10">
        <f t="shared" ref="E34:P34" si="2">+SUM(E37:E52)</f>
        <v>0</v>
      </c>
      <c r="F34" s="10">
        <f t="shared" si="2"/>
        <v>0</v>
      </c>
      <c r="G34" s="10">
        <f t="shared" si="2"/>
        <v>0</v>
      </c>
      <c r="H34" s="10">
        <f t="shared" si="2"/>
        <v>15000000</v>
      </c>
      <c r="I34" s="10">
        <f t="shared" si="2"/>
        <v>2700000</v>
      </c>
      <c r="J34" s="10">
        <f t="shared" si="2"/>
        <v>6297700</v>
      </c>
      <c r="K34" s="10">
        <f t="shared" si="2"/>
        <v>25000000</v>
      </c>
      <c r="L34" s="10">
        <f t="shared" si="2"/>
        <v>128694600</v>
      </c>
      <c r="M34" s="10">
        <f t="shared" si="2"/>
        <v>124344464</v>
      </c>
      <c r="N34" s="10">
        <f t="shared" si="2"/>
        <v>92500000</v>
      </c>
      <c r="O34" s="10">
        <f t="shared" si="2"/>
        <v>139719999</v>
      </c>
      <c r="P34" s="32">
        <f t="shared" si="2"/>
        <v>534256763</v>
      </c>
    </row>
    <row r="35" spans="2:18" x14ac:dyDescent="0.3">
      <c r="C35">
        <v>2023</v>
      </c>
      <c r="D35" s="11" t="s">
        <v>5</v>
      </c>
      <c r="E35" s="11" t="s">
        <v>6</v>
      </c>
      <c r="F35" s="11" t="s">
        <v>7</v>
      </c>
      <c r="G35" s="11" t="s">
        <v>8</v>
      </c>
      <c r="H35" s="11" t="s">
        <v>9</v>
      </c>
      <c r="I35" s="11" t="s">
        <v>10</v>
      </c>
      <c r="J35" s="12" t="s">
        <v>11</v>
      </c>
      <c r="K35" s="11" t="s">
        <v>12</v>
      </c>
      <c r="L35" s="11" t="s">
        <v>13</v>
      </c>
      <c r="M35" s="33" t="s">
        <v>37</v>
      </c>
      <c r="N35" s="11" t="s">
        <v>15</v>
      </c>
      <c r="O35" s="11" t="s">
        <v>16</v>
      </c>
      <c r="P35" s="11" t="s">
        <v>17</v>
      </c>
      <c r="Q35" s="11" t="s">
        <v>38</v>
      </c>
    </row>
    <row r="36" spans="2:18" x14ac:dyDescent="0.3">
      <c r="D36" s="11"/>
      <c r="E36" s="11"/>
      <c r="F36" s="11"/>
      <c r="G36" s="11"/>
      <c r="H36" s="11"/>
      <c r="I36" s="11"/>
      <c r="J36" s="12"/>
      <c r="K36" s="11"/>
      <c r="L36" s="11"/>
      <c r="M36" s="33"/>
      <c r="N36" s="11"/>
      <c r="O36" s="11"/>
      <c r="P36" s="11"/>
    </row>
    <row r="37" spans="2:18" x14ac:dyDescent="0.3">
      <c r="B37" t="s">
        <v>18</v>
      </c>
      <c r="C37" t="s">
        <v>19</v>
      </c>
      <c r="D37" s="13">
        <v>0</v>
      </c>
      <c r="E37" s="13">
        <v>0</v>
      </c>
      <c r="F37" s="13">
        <v>0</v>
      </c>
      <c r="G37" s="13">
        <v>0</v>
      </c>
      <c r="H37" s="13">
        <v>15000000</v>
      </c>
      <c r="I37" s="13">
        <v>2700000</v>
      </c>
      <c r="J37" s="13">
        <v>6297700</v>
      </c>
      <c r="K37" s="13">
        <v>15000000</v>
      </c>
      <c r="L37" s="44">
        <f>4136000+9771600+1500000+2500000</f>
        <v>17907600</v>
      </c>
      <c r="M37" s="45">
        <f>5728400+16500000</f>
        <v>22228400</v>
      </c>
      <c r="N37" s="35">
        <v>10000000</v>
      </c>
      <c r="O37" s="35">
        <v>12000000</v>
      </c>
      <c r="P37" s="14">
        <f>+SUM(D37:O37)</f>
        <v>101133700</v>
      </c>
      <c r="Q37">
        <v>152291441</v>
      </c>
      <c r="R37" s="6">
        <f>Q37-P37</f>
        <v>51157741</v>
      </c>
    </row>
    <row r="38" spans="2:18" x14ac:dyDescent="0.3">
      <c r="B38" t="s">
        <v>20</v>
      </c>
      <c r="C38" t="s">
        <v>19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44">
        <f>5000000+2941600</f>
        <v>7941600</v>
      </c>
      <c r="M38" s="45">
        <v>3162400</v>
      </c>
      <c r="N38" s="35">
        <v>5000000</v>
      </c>
      <c r="O38" s="35">
        <v>6000000</v>
      </c>
      <c r="P38" s="14">
        <f t="shared" ref="P38:P52" si="3">+SUM(D38:O38)</f>
        <v>22104000</v>
      </c>
      <c r="Q38">
        <v>42229962</v>
      </c>
      <c r="R38" s="6">
        <f t="shared" ref="R38:R52" si="4">Q38-P38</f>
        <v>20125962</v>
      </c>
    </row>
    <row r="39" spans="2:18" x14ac:dyDescent="0.3">
      <c r="B39" t="s">
        <v>21</v>
      </c>
      <c r="C39" t="s">
        <v>19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44">
        <f>4000000+18737600+3500000</f>
        <v>26237600</v>
      </c>
      <c r="M39" s="45">
        <v>9762400</v>
      </c>
      <c r="N39" s="35">
        <v>17000000</v>
      </c>
      <c r="O39" s="35">
        <f>21000000+31000000</f>
        <v>52000000</v>
      </c>
      <c r="P39" s="14">
        <f t="shared" si="3"/>
        <v>105000000</v>
      </c>
      <c r="Q39">
        <v>199945518</v>
      </c>
      <c r="R39" s="6">
        <f t="shared" si="4"/>
        <v>94945518</v>
      </c>
    </row>
    <row r="40" spans="2:18" x14ac:dyDescent="0.3">
      <c r="B40" t="s">
        <v>22</v>
      </c>
      <c r="C40" t="s">
        <v>19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44">
        <f>3000000+1747800</f>
        <v>4747800</v>
      </c>
      <c r="M40" s="45">
        <v>1252200</v>
      </c>
      <c r="N40" s="35">
        <v>4000000</v>
      </c>
      <c r="O40" s="35">
        <v>0</v>
      </c>
      <c r="P40" s="14">
        <f t="shared" si="3"/>
        <v>10000000</v>
      </c>
      <c r="Q40">
        <v>21113000</v>
      </c>
      <c r="R40" s="6">
        <f t="shared" si="4"/>
        <v>11113000</v>
      </c>
    </row>
    <row r="41" spans="2:18" x14ac:dyDescent="0.3">
      <c r="B41" t="s">
        <v>23</v>
      </c>
      <c r="C41" t="s">
        <v>19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44">
        <v>13820000</v>
      </c>
      <c r="M41" s="45">
        <f>3180000+5000000+15500000</f>
        <v>23680000</v>
      </c>
      <c r="N41" s="35">
        <v>10500000</v>
      </c>
      <c r="O41" s="35">
        <v>8000000</v>
      </c>
      <c r="P41" s="14">
        <f t="shared" si="3"/>
        <v>56000000</v>
      </c>
      <c r="Q41">
        <v>67136551</v>
      </c>
      <c r="R41" s="6">
        <f t="shared" si="4"/>
        <v>11136551</v>
      </c>
    </row>
    <row r="42" spans="2:18" x14ac:dyDescent="0.3">
      <c r="B42" t="s">
        <v>24</v>
      </c>
      <c r="C42" t="s">
        <v>19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44">
        <v>9029800</v>
      </c>
      <c r="M42" s="45">
        <v>970200</v>
      </c>
      <c r="N42" s="35">
        <v>3000000</v>
      </c>
      <c r="O42" s="35">
        <v>7000000</v>
      </c>
      <c r="P42" s="14">
        <f t="shared" si="3"/>
        <v>20000000</v>
      </c>
      <c r="Q42">
        <v>25000000</v>
      </c>
      <c r="R42" s="6">
        <f t="shared" si="4"/>
        <v>5000000</v>
      </c>
    </row>
    <row r="43" spans="2:18" x14ac:dyDescent="0.3">
      <c r="B43" t="s">
        <v>25</v>
      </c>
      <c r="C43" t="s">
        <v>19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44">
        <v>0</v>
      </c>
      <c r="M43" s="45">
        <v>5000000</v>
      </c>
      <c r="N43" s="35">
        <v>10000000</v>
      </c>
      <c r="O43" s="35">
        <v>5000000</v>
      </c>
      <c r="P43" s="14">
        <f t="shared" si="3"/>
        <v>20000000</v>
      </c>
      <c r="Q43">
        <v>30000000</v>
      </c>
      <c r="R43" s="6">
        <f t="shared" si="4"/>
        <v>10000000</v>
      </c>
    </row>
    <row r="44" spans="2:18" x14ac:dyDescent="0.3">
      <c r="B44" t="s">
        <v>26</v>
      </c>
      <c r="C44" t="s">
        <v>19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35">
        <v>5000000</v>
      </c>
      <c r="L44" s="44">
        <v>2710200</v>
      </c>
      <c r="M44" s="45">
        <f>289800+1500000</f>
        <v>1789800</v>
      </c>
      <c r="N44" s="35">
        <v>1000000</v>
      </c>
      <c r="O44" s="35">
        <v>0</v>
      </c>
      <c r="P44" s="14">
        <f t="shared" si="3"/>
        <v>10500000</v>
      </c>
      <c r="Q44">
        <v>8280000</v>
      </c>
      <c r="R44" s="6">
        <f t="shared" si="4"/>
        <v>-2220000</v>
      </c>
    </row>
    <row r="45" spans="2:18" x14ac:dyDescent="0.3">
      <c r="B45" t="s">
        <v>27</v>
      </c>
      <c r="C45" t="s">
        <v>19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44">
        <f>4800000+11000000</f>
        <v>15800000</v>
      </c>
      <c r="M45" s="47">
        <f>5500000+10000000</f>
        <v>15500000</v>
      </c>
      <c r="N45" s="35">
        <v>8000000</v>
      </c>
      <c r="O45" s="35">
        <v>11000000</v>
      </c>
      <c r="P45" s="14">
        <f t="shared" si="3"/>
        <v>50300000</v>
      </c>
      <c r="Q45">
        <v>44500000</v>
      </c>
      <c r="R45" s="6">
        <f t="shared" si="4"/>
        <v>-5800000</v>
      </c>
    </row>
    <row r="46" spans="2:18" x14ac:dyDescent="0.3">
      <c r="B46" t="s">
        <v>28</v>
      </c>
      <c r="C46" t="s">
        <v>19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44">
        <f>5000000+5000000</f>
        <v>10000000</v>
      </c>
      <c r="M46" s="47">
        <v>0</v>
      </c>
      <c r="N46" s="35">
        <v>3000000</v>
      </c>
      <c r="O46" s="35">
        <v>6600000</v>
      </c>
      <c r="P46" s="14">
        <f t="shared" si="3"/>
        <v>19600000</v>
      </c>
      <c r="Q46">
        <v>25171984</v>
      </c>
      <c r="R46" s="6">
        <f t="shared" si="4"/>
        <v>5571984</v>
      </c>
    </row>
    <row r="47" spans="2:18" x14ac:dyDescent="0.3">
      <c r="B47" t="s">
        <v>29</v>
      </c>
      <c r="C47" t="s">
        <v>19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44">
        <f>2000000+5000000</f>
        <v>7000000</v>
      </c>
      <c r="M47" s="47">
        <v>5000000</v>
      </c>
      <c r="N47" s="35">
        <v>5000000</v>
      </c>
      <c r="O47" s="35">
        <v>3000000</v>
      </c>
      <c r="P47" s="14">
        <f t="shared" si="3"/>
        <v>20000000</v>
      </c>
      <c r="Q47">
        <v>25000000</v>
      </c>
      <c r="R47" s="6">
        <f t="shared" si="4"/>
        <v>5000000</v>
      </c>
    </row>
    <row r="48" spans="2:18" x14ac:dyDescent="0.3">
      <c r="B48" t="s">
        <v>30</v>
      </c>
      <c r="C48" t="s">
        <v>19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35">
        <v>5000000</v>
      </c>
      <c r="L48" s="44">
        <f>1500000+1000000</f>
        <v>2500000</v>
      </c>
      <c r="M48" s="47" t="s">
        <v>39</v>
      </c>
      <c r="N48" s="35">
        <v>1000000</v>
      </c>
      <c r="O48" s="35">
        <v>0</v>
      </c>
      <c r="P48" s="14">
        <f t="shared" si="3"/>
        <v>8500000</v>
      </c>
      <c r="Q48">
        <v>5507153</v>
      </c>
      <c r="R48" s="6">
        <f t="shared" si="4"/>
        <v>-2992847</v>
      </c>
    </row>
    <row r="49" spans="2:18" x14ac:dyDescent="0.3">
      <c r="B49" t="s">
        <v>31</v>
      </c>
      <c r="C49" t="s">
        <v>19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44">
        <v>4000000</v>
      </c>
      <c r="M49" s="47">
        <f>1500000+2500000</f>
        <v>4000000</v>
      </c>
      <c r="N49" s="46">
        <v>3000000</v>
      </c>
      <c r="O49" s="46">
        <v>5000000</v>
      </c>
      <c r="P49" s="14">
        <f t="shared" si="3"/>
        <v>16000000</v>
      </c>
      <c r="Q49">
        <v>2400789</v>
      </c>
      <c r="R49" s="6">
        <f t="shared" si="4"/>
        <v>-13599211</v>
      </c>
    </row>
    <row r="50" spans="2:18" x14ac:dyDescent="0.3">
      <c r="B50" t="s">
        <v>32</v>
      </c>
      <c r="C50" t="s">
        <v>19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45">
        <v>2000000</v>
      </c>
      <c r="N50" s="46">
        <v>2000000</v>
      </c>
      <c r="O50" s="46">
        <v>2000000</v>
      </c>
      <c r="P50" s="14">
        <f t="shared" si="3"/>
        <v>6000000</v>
      </c>
      <c r="Q50">
        <v>6000000</v>
      </c>
      <c r="R50" s="6">
        <f t="shared" si="4"/>
        <v>0</v>
      </c>
    </row>
    <row r="51" spans="2:18" x14ac:dyDescent="0.3">
      <c r="B51" t="s">
        <v>33</v>
      </c>
      <c r="C51" t="s">
        <v>19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44">
        <v>4000000</v>
      </c>
      <c r="M51" s="47">
        <v>9999064</v>
      </c>
      <c r="N51" s="35">
        <v>4000000</v>
      </c>
      <c r="O51" s="35">
        <v>14000000</v>
      </c>
      <c r="P51" s="14">
        <f t="shared" si="3"/>
        <v>31999064</v>
      </c>
      <c r="Q51">
        <v>21589901</v>
      </c>
      <c r="R51" s="6">
        <f t="shared" si="4"/>
        <v>-10409163</v>
      </c>
    </row>
    <row r="52" spans="2:18" x14ac:dyDescent="0.3">
      <c r="B52" t="s">
        <v>34</v>
      </c>
      <c r="C52" t="s">
        <v>19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44">
        <v>3000000</v>
      </c>
      <c r="M52" s="45">
        <v>20000000</v>
      </c>
      <c r="N52" s="35">
        <v>6000000</v>
      </c>
      <c r="O52" s="35">
        <v>8119999</v>
      </c>
      <c r="P52" s="14">
        <f t="shared" si="3"/>
        <v>37119999</v>
      </c>
      <c r="Q52">
        <v>80949874</v>
      </c>
      <c r="R52" s="6">
        <f t="shared" si="4"/>
        <v>43829875</v>
      </c>
    </row>
  </sheetData>
  <mergeCells count="4">
    <mergeCell ref="D5:P5"/>
    <mergeCell ref="D33:P33"/>
    <mergeCell ref="D4:P4"/>
    <mergeCell ref="D32:P3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54"/>
  <sheetViews>
    <sheetView tabSelected="1" workbookViewId="0">
      <selection activeCell="L2" sqref="L2"/>
    </sheetView>
  </sheetViews>
  <sheetFormatPr defaultColWidth="8.88671875" defaultRowHeight="14.4" x14ac:dyDescent="0.3"/>
  <cols>
    <col min="1" max="1" width="28.88671875" customWidth="1"/>
    <col min="2" max="2" width="15.88671875" hidden="1" customWidth="1"/>
    <col min="3" max="3" width="16.33203125" bestFit="1" customWidth="1"/>
    <col min="4" max="4" width="17.33203125" hidden="1" customWidth="1"/>
    <col min="5" max="5" width="15.44140625" hidden="1" customWidth="1"/>
    <col min="6" max="6" width="15.109375" bestFit="1" customWidth="1"/>
    <col min="7" max="7" width="13" bestFit="1" customWidth="1"/>
    <col min="8" max="8" width="8.6640625" customWidth="1"/>
    <col min="9" max="9" width="13.109375" hidden="1" customWidth="1"/>
    <col min="10" max="11" width="18.6640625" hidden="1" customWidth="1"/>
    <col min="12" max="12" width="13.33203125" customWidth="1"/>
    <col min="13" max="13" width="20.33203125" hidden="1" customWidth="1"/>
    <col min="14" max="14" width="16.6640625" hidden="1" customWidth="1"/>
    <col min="15" max="15" width="14.88671875" customWidth="1"/>
    <col min="16" max="16" width="15.44140625" customWidth="1"/>
    <col min="17" max="17" width="40" customWidth="1"/>
    <col min="18" max="18" width="14.33203125" customWidth="1"/>
    <col min="19" max="19" width="40" customWidth="1"/>
    <col min="20" max="21" width="9.109375" bestFit="1" customWidth="1"/>
    <col min="22" max="22" width="9.33203125" bestFit="1" customWidth="1"/>
    <col min="23" max="23" width="13.109375" customWidth="1"/>
    <col min="24" max="24" width="12" bestFit="1" customWidth="1"/>
    <col min="25" max="25" width="8.6640625" bestFit="1" customWidth="1"/>
    <col min="26" max="26" width="6.44140625" bestFit="1" customWidth="1"/>
    <col min="27" max="27" width="5.33203125" bestFit="1" customWidth="1"/>
  </cols>
  <sheetData>
    <row r="1" spans="1:35" x14ac:dyDescent="0.3">
      <c r="A1" s="29"/>
      <c r="B1" s="29"/>
      <c r="C1" s="29"/>
      <c r="D1" s="29"/>
      <c r="E1" s="29"/>
      <c r="F1" s="48"/>
      <c r="G1" s="48"/>
      <c r="H1" s="29"/>
      <c r="I1" s="16">
        <f>SUBTOTAL(9,I3:I1048576)</f>
        <v>1787895746</v>
      </c>
      <c r="J1" s="22">
        <f>SUBTOTAL(9,J3:J1048576)</f>
        <v>621062774</v>
      </c>
      <c r="K1" s="22">
        <f>SUBTOTAL(9,K3:K1048576)</f>
        <v>1101073353</v>
      </c>
      <c r="L1" s="23">
        <f>SUBTOTAL(9,L3:L1188)</f>
        <v>647951437</v>
      </c>
      <c r="M1" s="23">
        <f>SUBTOTAL(9,M3:M1188)</f>
        <v>446369699</v>
      </c>
      <c r="N1" s="16"/>
      <c r="O1" s="29"/>
      <c r="P1" s="29"/>
      <c r="Q1" s="29"/>
      <c r="S1" s="7"/>
      <c r="T1" s="7"/>
      <c r="U1" s="7"/>
      <c r="V1" s="7"/>
    </row>
    <row r="2" spans="1:35" x14ac:dyDescent="0.3">
      <c r="A2" s="17" t="s">
        <v>40</v>
      </c>
      <c r="B2" s="17" t="s">
        <v>41</v>
      </c>
      <c r="C2" s="17" t="s">
        <v>42</v>
      </c>
      <c r="D2" s="18" t="s">
        <v>43</v>
      </c>
      <c r="E2" s="18" t="s">
        <v>44</v>
      </c>
      <c r="F2" s="19" t="s">
        <v>45</v>
      </c>
      <c r="G2" s="19" t="s">
        <v>46</v>
      </c>
      <c r="H2" s="20" t="s">
        <v>47</v>
      </c>
      <c r="I2" s="21" t="s">
        <v>17</v>
      </c>
      <c r="J2" s="24" t="s">
        <v>48</v>
      </c>
      <c r="K2" s="24" t="s">
        <v>49</v>
      </c>
      <c r="L2" s="25" t="s">
        <v>50</v>
      </c>
      <c r="M2" s="25" t="s">
        <v>51</v>
      </c>
      <c r="N2" s="21" t="s">
        <v>52</v>
      </c>
      <c r="O2" s="18" t="s">
        <v>53</v>
      </c>
      <c r="P2" s="18" t="s">
        <v>54</v>
      </c>
      <c r="Q2" s="18" t="s">
        <v>55</v>
      </c>
      <c r="R2" s="1" t="s">
        <v>56</v>
      </c>
      <c r="S2" s="2" t="s">
        <v>57</v>
      </c>
      <c r="T2" s="2" t="s">
        <v>58</v>
      </c>
      <c r="U2" s="2" t="s">
        <v>42</v>
      </c>
      <c r="V2" s="2" t="s">
        <v>59</v>
      </c>
      <c r="W2" s="31" t="s">
        <v>60</v>
      </c>
      <c r="X2" s="31" t="s">
        <v>61</v>
      </c>
      <c r="Y2" s="31" t="s">
        <v>62</v>
      </c>
      <c r="Z2" s="31" t="s">
        <v>63</v>
      </c>
      <c r="AA2" s="3"/>
      <c r="AB2" s="3"/>
      <c r="AC2" s="3"/>
      <c r="AD2" s="3"/>
      <c r="AE2" s="3"/>
      <c r="AF2" s="4"/>
      <c r="AG2" s="4"/>
      <c r="AH2" s="4"/>
      <c r="AI2" s="4"/>
    </row>
    <row r="3" spans="1:35" x14ac:dyDescent="0.3">
      <c r="A3" s="29" t="s">
        <v>64</v>
      </c>
      <c r="B3" s="29" t="s">
        <v>65</v>
      </c>
      <c r="C3" s="29" t="s">
        <v>66</v>
      </c>
      <c r="D3" s="29" t="s">
        <v>67</v>
      </c>
      <c r="E3" s="29"/>
      <c r="F3" s="48">
        <v>45301</v>
      </c>
      <c r="G3" s="48">
        <v>45382</v>
      </c>
      <c r="H3" s="29">
        <v>2024</v>
      </c>
      <c r="I3" s="30">
        <v>1000000</v>
      </c>
      <c r="J3" s="26">
        <v>1000000</v>
      </c>
      <c r="K3" s="26">
        <v>0</v>
      </c>
      <c r="L3" s="27">
        <v>0</v>
      </c>
      <c r="M3" s="27">
        <f>K3-L3</f>
        <v>0</v>
      </c>
      <c r="N3" s="36" t="s">
        <v>68</v>
      </c>
      <c r="O3" s="29" t="s">
        <v>69</v>
      </c>
      <c r="P3" s="29" t="s">
        <v>70</v>
      </c>
      <c r="Q3" s="29"/>
      <c r="S3" s="7" t="s">
        <v>71</v>
      </c>
      <c r="T3" s="7" t="s">
        <v>72</v>
      </c>
      <c r="U3" s="7" t="s">
        <v>72</v>
      </c>
      <c r="V3" s="7" t="s">
        <v>72</v>
      </c>
      <c r="AA3" t="str">
        <f>VLOOKUP(C3,[1]Sheet1!$C:$U,18,0)</f>
        <v/>
      </c>
    </row>
    <row r="4" spans="1:35" x14ac:dyDescent="0.3">
      <c r="A4" s="29" t="s">
        <v>64</v>
      </c>
      <c r="B4" s="29" t="s">
        <v>65</v>
      </c>
      <c r="C4" s="29" t="s">
        <v>66</v>
      </c>
      <c r="D4" s="29" t="s">
        <v>67</v>
      </c>
      <c r="E4" s="29"/>
      <c r="F4" s="48">
        <v>45301</v>
      </c>
      <c r="G4" s="48">
        <v>45382</v>
      </c>
      <c r="H4" s="29">
        <v>2024</v>
      </c>
      <c r="I4" s="30">
        <v>1892218</v>
      </c>
      <c r="J4" s="26">
        <v>1890000</v>
      </c>
      <c r="K4" s="26">
        <v>0</v>
      </c>
      <c r="L4" s="27">
        <v>0</v>
      </c>
      <c r="M4" s="27">
        <f t="shared" ref="M4:M12" si="0">K4-L4</f>
        <v>0</v>
      </c>
      <c r="N4" s="36" t="s">
        <v>68</v>
      </c>
      <c r="O4" s="29" t="s">
        <v>69</v>
      </c>
      <c r="P4" s="29" t="s">
        <v>73</v>
      </c>
      <c r="Q4" s="29"/>
      <c r="S4" s="7" t="s">
        <v>71</v>
      </c>
      <c r="T4" s="7" t="s">
        <v>72</v>
      </c>
      <c r="U4" s="7" t="s">
        <v>72</v>
      </c>
      <c r="V4" s="7" t="s">
        <v>72</v>
      </c>
      <c r="AA4" t="str">
        <f>VLOOKUP(C4,[1]Sheet1!$C:$U,18,0)</f>
        <v/>
      </c>
    </row>
    <row r="5" spans="1:35" x14ac:dyDescent="0.3">
      <c r="A5" s="29" t="s">
        <v>64</v>
      </c>
      <c r="B5" s="29" t="s">
        <v>74</v>
      </c>
      <c r="C5" s="29" t="s">
        <v>75</v>
      </c>
      <c r="D5" s="29" t="s">
        <v>67</v>
      </c>
      <c r="E5" s="29"/>
      <c r="F5" s="48">
        <v>45303</v>
      </c>
      <c r="G5" s="48">
        <v>45382</v>
      </c>
      <c r="H5" s="29">
        <v>2024</v>
      </c>
      <c r="I5" s="30">
        <v>4000000</v>
      </c>
      <c r="J5" s="26">
        <v>4000000</v>
      </c>
      <c r="K5" s="26">
        <v>0</v>
      </c>
      <c r="L5" s="27">
        <v>0</v>
      </c>
      <c r="M5" s="27">
        <f t="shared" si="0"/>
        <v>0</v>
      </c>
      <c r="N5" s="36" t="s">
        <v>68</v>
      </c>
      <c r="O5" s="29" t="s">
        <v>69</v>
      </c>
      <c r="P5" s="29" t="s">
        <v>70</v>
      </c>
      <c r="Q5" s="29"/>
      <c r="S5" s="7" t="s">
        <v>76</v>
      </c>
      <c r="T5" s="7" t="s">
        <v>72</v>
      </c>
      <c r="U5" s="7" t="s">
        <v>72</v>
      </c>
      <c r="V5" s="7" t="s">
        <v>72</v>
      </c>
      <c r="AA5" t="str">
        <f>VLOOKUP(C5,[1]Sheet1!$C:$U,18,0)</f>
        <v/>
      </c>
    </row>
    <row r="6" spans="1:35" x14ac:dyDescent="0.3">
      <c r="A6" s="29" t="s">
        <v>64</v>
      </c>
      <c r="B6" s="29" t="s">
        <v>74</v>
      </c>
      <c r="C6" s="29" t="s">
        <v>75</v>
      </c>
      <c r="D6" s="29" t="s">
        <v>67</v>
      </c>
      <c r="E6" s="29"/>
      <c r="F6" s="48">
        <v>45303</v>
      </c>
      <c r="G6" s="48">
        <v>45382</v>
      </c>
      <c r="H6" s="29">
        <v>2024</v>
      </c>
      <c r="I6" s="30">
        <v>5500000</v>
      </c>
      <c r="J6" s="26">
        <v>5500000</v>
      </c>
      <c r="K6" s="26">
        <v>0</v>
      </c>
      <c r="L6" s="27">
        <v>0</v>
      </c>
      <c r="M6" s="27">
        <f t="shared" si="0"/>
        <v>0</v>
      </c>
      <c r="N6" s="36" t="s">
        <v>68</v>
      </c>
      <c r="O6" s="29" t="s">
        <v>69</v>
      </c>
      <c r="P6" s="29" t="s">
        <v>77</v>
      </c>
      <c r="Q6" s="29"/>
      <c r="S6" s="7" t="s">
        <v>76</v>
      </c>
      <c r="T6" s="7" t="s">
        <v>72</v>
      </c>
      <c r="U6" s="7" t="s">
        <v>72</v>
      </c>
      <c r="V6" s="7" t="s">
        <v>72</v>
      </c>
      <c r="AA6" t="str">
        <f>VLOOKUP(C6,[1]Sheet1!$C:$U,18,0)</f>
        <v/>
      </c>
    </row>
    <row r="7" spans="1:35" x14ac:dyDescent="0.3">
      <c r="A7" s="29" t="s">
        <v>64</v>
      </c>
      <c r="B7" s="29" t="s">
        <v>74</v>
      </c>
      <c r="C7" s="29" t="s">
        <v>75</v>
      </c>
      <c r="D7" s="29" t="s">
        <v>67</v>
      </c>
      <c r="E7" s="29"/>
      <c r="F7" s="48">
        <v>45303</v>
      </c>
      <c r="G7" s="48">
        <v>45382</v>
      </c>
      <c r="H7" s="29">
        <v>2024</v>
      </c>
      <c r="I7" s="30">
        <v>6500000</v>
      </c>
      <c r="J7" s="26">
        <v>6500000</v>
      </c>
      <c r="K7" s="26">
        <v>0</v>
      </c>
      <c r="L7" s="27">
        <v>0</v>
      </c>
      <c r="M7" s="27">
        <f t="shared" si="0"/>
        <v>0</v>
      </c>
      <c r="N7" s="36" t="s">
        <v>68</v>
      </c>
      <c r="O7" s="29" t="s">
        <v>69</v>
      </c>
      <c r="P7" s="29" t="s">
        <v>73</v>
      </c>
      <c r="Q7" s="29"/>
      <c r="S7" s="7" t="s">
        <v>76</v>
      </c>
      <c r="T7" s="7" t="s">
        <v>72</v>
      </c>
      <c r="U7" s="7" t="s">
        <v>72</v>
      </c>
      <c r="V7" s="7" t="s">
        <v>72</v>
      </c>
      <c r="AA7" t="str">
        <f>VLOOKUP(C7,[1]Sheet1!$C:$U,18,0)</f>
        <v/>
      </c>
    </row>
    <row r="8" spans="1:35" x14ac:dyDescent="0.3">
      <c r="A8" s="29" t="s">
        <v>64</v>
      </c>
      <c r="B8" s="29" t="s">
        <v>74</v>
      </c>
      <c r="C8" s="29" t="s">
        <v>75</v>
      </c>
      <c r="D8" s="29" t="s">
        <v>67</v>
      </c>
      <c r="E8" s="29"/>
      <c r="F8" s="48">
        <v>45303</v>
      </c>
      <c r="G8" s="48">
        <v>45382</v>
      </c>
      <c r="H8" s="29">
        <v>2024</v>
      </c>
      <c r="I8" s="30">
        <v>30000000</v>
      </c>
      <c r="J8" s="26">
        <v>30000000</v>
      </c>
      <c r="K8" s="26">
        <v>0</v>
      </c>
      <c r="L8" s="27">
        <v>0</v>
      </c>
      <c r="M8" s="27">
        <f t="shared" si="0"/>
        <v>0</v>
      </c>
      <c r="N8" s="36" t="s">
        <v>68</v>
      </c>
      <c r="O8" s="29" t="s">
        <v>69</v>
      </c>
      <c r="P8" s="29" t="s">
        <v>78</v>
      </c>
      <c r="Q8" s="29"/>
      <c r="S8" s="7" t="s">
        <v>76</v>
      </c>
      <c r="T8" s="7" t="s">
        <v>72</v>
      </c>
      <c r="U8" s="7" t="s">
        <v>72</v>
      </c>
      <c r="V8" s="7" t="s">
        <v>72</v>
      </c>
      <c r="AA8" t="str">
        <f>VLOOKUP(C8,[1]Sheet1!$C:$U,18,0)</f>
        <v/>
      </c>
    </row>
    <row r="9" spans="1:35" x14ac:dyDescent="0.3">
      <c r="A9" s="29" t="s">
        <v>64</v>
      </c>
      <c r="B9" s="29" t="s">
        <v>79</v>
      </c>
      <c r="C9" s="29" t="s">
        <v>80</v>
      </c>
      <c r="D9" s="29" t="s">
        <v>67</v>
      </c>
      <c r="E9" s="29"/>
      <c r="F9" s="48">
        <v>45337</v>
      </c>
      <c r="G9" s="48">
        <v>45443</v>
      </c>
      <c r="H9" s="29">
        <v>2024</v>
      </c>
      <c r="I9" s="30">
        <v>2000000</v>
      </c>
      <c r="J9" s="26">
        <v>2000000</v>
      </c>
      <c r="K9" s="26">
        <v>0</v>
      </c>
      <c r="L9" s="28">
        <v>0</v>
      </c>
      <c r="M9" s="27">
        <f t="shared" si="0"/>
        <v>0</v>
      </c>
      <c r="N9" s="36" t="s">
        <v>81</v>
      </c>
      <c r="O9" s="29" t="s">
        <v>82</v>
      </c>
      <c r="P9" s="29" t="s">
        <v>73</v>
      </c>
      <c r="Q9" s="29"/>
      <c r="S9" s="7" t="s">
        <v>83</v>
      </c>
      <c r="T9" s="7" t="s">
        <v>72</v>
      </c>
      <c r="U9" s="7" t="s">
        <v>72</v>
      </c>
      <c r="V9" s="7" t="s">
        <v>72</v>
      </c>
      <c r="AA9" t="str">
        <f>VLOOKUP(C9,[1]Sheet1!$C:$U,18,0)</f>
        <v/>
      </c>
    </row>
    <row r="10" spans="1:35" x14ac:dyDescent="0.3">
      <c r="A10" s="29" t="s">
        <v>64</v>
      </c>
      <c r="B10" s="29" t="s">
        <v>84</v>
      </c>
      <c r="C10" s="29" t="s">
        <v>85</v>
      </c>
      <c r="D10" s="29" t="s">
        <v>67</v>
      </c>
      <c r="E10" s="29"/>
      <c r="F10" s="48">
        <v>45337</v>
      </c>
      <c r="G10" s="48">
        <v>45443</v>
      </c>
      <c r="H10" s="29">
        <v>2024</v>
      </c>
      <c r="I10" s="30">
        <v>3500000</v>
      </c>
      <c r="J10" s="26">
        <v>3500000</v>
      </c>
      <c r="K10" s="26">
        <v>0</v>
      </c>
      <c r="L10" s="28">
        <v>0</v>
      </c>
      <c r="M10" s="27">
        <f t="shared" si="0"/>
        <v>0</v>
      </c>
      <c r="N10" s="36" t="s">
        <v>86</v>
      </c>
      <c r="O10" s="29" t="s">
        <v>87</v>
      </c>
      <c r="P10" s="29" t="s">
        <v>73</v>
      </c>
      <c r="Q10" s="29"/>
      <c r="S10" s="7" t="s">
        <v>88</v>
      </c>
      <c r="T10" s="7" t="s">
        <v>72</v>
      </c>
      <c r="U10" s="7" t="s">
        <v>72</v>
      </c>
      <c r="V10" s="7" t="s">
        <v>72</v>
      </c>
      <c r="AA10" t="str">
        <f>VLOOKUP(C10,[1]Sheet1!$C:$U,18,0)</f>
        <v/>
      </c>
    </row>
    <row r="11" spans="1:35" x14ac:dyDescent="0.3">
      <c r="A11" s="29" t="s">
        <v>64</v>
      </c>
      <c r="B11" s="29" t="s">
        <v>89</v>
      </c>
      <c r="C11" s="29" t="s">
        <v>90</v>
      </c>
      <c r="D11" s="29" t="s">
        <v>67</v>
      </c>
      <c r="E11" s="29"/>
      <c r="F11" s="48">
        <v>45363</v>
      </c>
      <c r="G11" s="48">
        <v>45443</v>
      </c>
      <c r="H11" s="29">
        <v>2024</v>
      </c>
      <c r="I11" s="30">
        <v>2071109</v>
      </c>
      <c r="J11" s="26">
        <v>2071109</v>
      </c>
      <c r="K11" s="26">
        <v>0</v>
      </c>
      <c r="L11" s="28">
        <v>0</v>
      </c>
      <c r="M11" s="27">
        <f t="shared" si="0"/>
        <v>0</v>
      </c>
      <c r="N11" s="36" t="s">
        <v>68</v>
      </c>
      <c r="O11" s="29" t="s">
        <v>69</v>
      </c>
      <c r="P11" s="29" t="s">
        <v>70</v>
      </c>
      <c r="Q11" s="29"/>
      <c r="S11" s="7" t="s">
        <v>91</v>
      </c>
      <c r="T11" s="7" t="s">
        <v>72</v>
      </c>
      <c r="U11" s="7" t="s">
        <v>72</v>
      </c>
      <c r="V11" s="7" t="s">
        <v>72</v>
      </c>
      <c r="AA11" t="str">
        <f>VLOOKUP(C11,[1]Sheet1!$C:$U,18,0)</f>
        <v/>
      </c>
    </row>
    <row r="12" spans="1:35" x14ac:dyDescent="0.3">
      <c r="A12" s="29" t="s">
        <v>64</v>
      </c>
      <c r="B12" s="29" t="s">
        <v>89</v>
      </c>
      <c r="C12" s="29" t="s">
        <v>90</v>
      </c>
      <c r="D12" s="29" t="s">
        <v>67</v>
      </c>
      <c r="E12" s="29"/>
      <c r="F12" s="48">
        <v>45363</v>
      </c>
      <c r="G12" s="48">
        <v>45443</v>
      </c>
      <c r="H12" s="29">
        <v>2024</v>
      </c>
      <c r="I12" s="30">
        <v>7000000</v>
      </c>
      <c r="J12" s="26">
        <v>7000000</v>
      </c>
      <c r="K12" s="26">
        <v>0</v>
      </c>
      <c r="L12" s="28">
        <v>0</v>
      </c>
      <c r="M12" s="27">
        <f t="shared" si="0"/>
        <v>0</v>
      </c>
      <c r="N12" s="36" t="s">
        <v>68</v>
      </c>
      <c r="O12" s="29" t="s">
        <v>69</v>
      </c>
      <c r="P12" s="29" t="s">
        <v>73</v>
      </c>
      <c r="Q12" s="29"/>
      <c r="S12" s="7" t="s">
        <v>91</v>
      </c>
      <c r="T12" s="7" t="s">
        <v>72</v>
      </c>
      <c r="U12" s="7" t="s">
        <v>72</v>
      </c>
      <c r="V12" s="7" t="s">
        <v>72</v>
      </c>
      <c r="AA12" t="str">
        <f>VLOOKUP(C12,[1]Sheet1!$C:$U,18,0)</f>
        <v/>
      </c>
    </row>
    <row r="13" spans="1:35" x14ac:dyDescent="0.3">
      <c r="A13" s="29" t="s">
        <v>64</v>
      </c>
      <c r="B13" s="29" t="s">
        <v>92</v>
      </c>
      <c r="C13" s="29" t="s">
        <v>93</v>
      </c>
      <c r="D13" s="29" t="s">
        <v>94</v>
      </c>
      <c r="E13" s="29"/>
      <c r="F13" s="48">
        <v>45378</v>
      </c>
      <c r="G13" s="48">
        <v>45443</v>
      </c>
      <c r="H13" s="29">
        <v>2024</v>
      </c>
      <c r="I13" s="30">
        <v>1500000</v>
      </c>
      <c r="J13" s="26">
        <v>1500000</v>
      </c>
      <c r="K13" s="26">
        <f t="shared" ref="K13:K82" si="1">I13-J13</f>
        <v>0</v>
      </c>
      <c r="L13" s="28">
        <v>0</v>
      </c>
      <c r="M13" s="28">
        <v>0</v>
      </c>
      <c r="N13" s="36" t="s">
        <v>95</v>
      </c>
      <c r="O13" s="29" t="s">
        <v>96</v>
      </c>
      <c r="P13" s="29" t="s">
        <v>73</v>
      </c>
      <c r="Q13" s="29"/>
      <c r="S13" s="7" t="s">
        <v>97</v>
      </c>
      <c r="T13" s="7" t="s">
        <v>72</v>
      </c>
      <c r="U13" s="7" t="s">
        <v>72</v>
      </c>
      <c r="V13" s="7" t="s">
        <v>72</v>
      </c>
      <c r="AA13" t="str">
        <f>VLOOKUP(C13,[1]Sheet1!$C:$U,18,0)</f>
        <v/>
      </c>
    </row>
    <row r="14" spans="1:35" x14ac:dyDescent="0.3">
      <c r="A14" s="29" t="s">
        <v>64</v>
      </c>
      <c r="B14" s="29" t="s">
        <v>92</v>
      </c>
      <c r="C14" s="29" t="s">
        <v>93</v>
      </c>
      <c r="D14" s="29" t="s">
        <v>94</v>
      </c>
      <c r="E14" s="29"/>
      <c r="F14" s="48">
        <v>45378</v>
      </c>
      <c r="G14" s="48">
        <v>45443</v>
      </c>
      <c r="H14" s="29">
        <v>2024</v>
      </c>
      <c r="I14" s="30">
        <v>2500000</v>
      </c>
      <c r="J14" s="26">
        <v>0</v>
      </c>
      <c r="K14" s="26">
        <f>I14-J14</f>
        <v>2500000</v>
      </c>
      <c r="L14" s="28">
        <v>2500000</v>
      </c>
      <c r="M14" s="28">
        <v>0</v>
      </c>
      <c r="N14" s="36" t="s">
        <v>95</v>
      </c>
      <c r="O14" s="29" t="s">
        <v>96</v>
      </c>
      <c r="P14" s="29" t="s">
        <v>73</v>
      </c>
      <c r="Q14" s="29"/>
      <c r="S14" s="7" t="s">
        <v>98</v>
      </c>
      <c r="T14" s="7" t="s">
        <v>72</v>
      </c>
      <c r="U14" s="7" t="s">
        <v>72</v>
      </c>
      <c r="V14" s="7"/>
    </row>
    <row r="15" spans="1:35" x14ac:dyDescent="0.3">
      <c r="A15" s="29" t="s">
        <v>64</v>
      </c>
      <c r="B15" s="29" t="s">
        <v>92</v>
      </c>
      <c r="C15" s="29" t="s">
        <v>93</v>
      </c>
      <c r="D15" s="29" t="s">
        <v>94</v>
      </c>
      <c r="E15" s="29"/>
      <c r="F15" s="48">
        <v>45378</v>
      </c>
      <c r="G15" s="48">
        <v>45443</v>
      </c>
      <c r="H15" s="29">
        <v>2024</v>
      </c>
      <c r="I15" s="30">
        <v>2000000</v>
      </c>
      <c r="J15" s="26">
        <v>0</v>
      </c>
      <c r="K15" s="26">
        <f t="shared" si="1"/>
        <v>2000000</v>
      </c>
      <c r="L15" s="28">
        <v>2000000</v>
      </c>
      <c r="M15" s="28">
        <v>0</v>
      </c>
      <c r="N15" s="36" t="s">
        <v>95</v>
      </c>
      <c r="O15" s="29" t="s">
        <v>96</v>
      </c>
      <c r="P15" s="29" t="s">
        <v>70</v>
      </c>
      <c r="Q15" s="29"/>
      <c r="S15" s="7" t="s">
        <v>98</v>
      </c>
      <c r="T15" s="7" t="s">
        <v>72</v>
      </c>
      <c r="U15" s="7" t="s">
        <v>72</v>
      </c>
      <c r="V15" s="7"/>
      <c r="AA15" t="str">
        <f>VLOOKUP(C15,[1]Sheet1!$C:$U,18,0)</f>
        <v/>
      </c>
    </row>
    <row r="16" spans="1:35" x14ac:dyDescent="0.3">
      <c r="A16" s="29" t="s">
        <v>64</v>
      </c>
      <c r="B16" s="29" t="s">
        <v>99</v>
      </c>
      <c r="C16" s="29" t="s">
        <v>100</v>
      </c>
      <c r="D16" s="29" t="s">
        <v>94</v>
      </c>
      <c r="E16" s="29"/>
      <c r="F16" s="48">
        <v>45383</v>
      </c>
      <c r="G16" s="48">
        <v>45473</v>
      </c>
      <c r="H16" s="29">
        <v>2024</v>
      </c>
      <c r="I16" s="30">
        <v>2071109</v>
      </c>
      <c r="J16" s="26">
        <v>0</v>
      </c>
      <c r="K16" s="26">
        <f t="shared" si="1"/>
        <v>2071109</v>
      </c>
      <c r="L16" s="28">
        <v>2071109</v>
      </c>
      <c r="M16" s="28">
        <f>K16-L16</f>
        <v>0</v>
      </c>
      <c r="N16" s="36" t="s">
        <v>68</v>
      </c>
      <c r="O16" s="29" t="s">
        <v>69</v>
      </c>
      <c r="P16" s="29" t="s">
        <v>70</v>
      </c>
      <c r="Q16" s="29"/>
      <c r="S16" s="7" t="s">
        <v>101</v>
      </c>
      <c r="T16" s="7" t="s">
        <v>72</v>
      </c>
      <c r="U16" s="7" t="s">
        <v>72</v>
      </c>
      <c r="V16" s="7"/>
      <c r="AA16" t="str">
        <f>VLOOKUP(C16,[1]Sheet1!$C:$U,18,0)</f>
        <v/>
      </c>
    </row>
    <row r="17" spans="1:27" x14ac:dyDescent="0.3">
      <c r="A17" s="29" t="s">
        <v>64</v>
      </c>
      <c r="B17" s="29" t="s">
        <v>99</v>
      </c>
      <c r="C17" s="29" t="s">
        <v>100</v>
      </c>
      <c r="D17" s="29" t="s">
        <v>94</v>
      </c>
      <c r="E17" s="29"/>
      <c r="F17" s="48">
        <v>45383</v>
      </c>
      <c r="G17" s="48">
        <v>45473</v>
      </c>
      <c r="H17" s="29">
        <v>2024</v>
      </c>
      <c r="I17" s="30">
        <v>7000000</v>
      </c>
      <c r="J17" s="26">
        <v>0</v>
      </c>
      <c r="K17" s="26">
        <f t="shared" si="1"/>
        <v>7000000</v>
      </c>
      <c r="L17" s="28">
        <v>7000000</v>
      </c>
      <c r="M17" s="28">
        <f>K17-L17</f>
        <v>0</v>
      </c>
      <c r="N17" s="36" t="s">
        <v>68</v>
      </c>
      <c r="O17" s="29" t="s">
        <v>69</v>
      </c>
      <c r="P17" s="29" t="s">
        <v>73</v>
      </c>
      <c r="Q17" s="29"/>
      <c r="S17" s="7" t="s">
        <v>101</v>
      </c>
      <c r="T17" s="7" t="s">
        <v>72</v>
      </c>
      <c r="U17" s="7" t="s">
        <v>72</v>
      </c>
      <c r="V17" s="7"/>
      <c r="AA17" t="str">
        <f>VLOOKUP(C17,[1]Sheet1!$C:$U,18,0)</f>
        <v/>
      </c>
    </row>
    <row r="18" spans="1:27" x14ac:dyDescent="0.3">
      <c r="A18" s="29" t="s">
        <v>64</v>
      </c>
      <c r="B18" s="29" t="s">
        <v>102</v>
      </c>
      <c r="C18" s="29" t="s">
        <v>103</v>
      </c>
      <c r="D18" s="29" t="s">
        <v>94</v>
      </c>
      <c r="E18" s="29"/>
      <c r="F18" s="48">
        <v>45385</v>
      </c>
      <c r="G18" s="48">
        <v>45504</v>
      </c>
      <c r="H18" s="29">
        <v>2024</v>
      </c>
      <c r="I18" s="30">
        <v>3863449</v>
      </c>
      <c r="J18" s="26">
        <v>0</v>
      </c>
      <c r="K18" s="26">
        <f t="shared" si="1"/>
        <v>3863449</v>
      </c>
      <c r="L18" s="28">
        <v>3863449</v>
      </c>
      <c r="M18" s="28">
        <f>K18-L18</f>
        <v>0</v>
      </c>
      <c r="N18" s="36" t="s">
        <v>68</v>
      </c>
      <c r="O18" s="29" t="s">
        <v>69</v>
      </c>
      <c r="P18" s="29" t="s">
        <v>70</v>
      </c>
      <c r="Q18" s="29"/>
      <c r="S18" s="7" t="s">
        <v>104</v>
      </c>
      <c r="T18" s="7" t="s">
        <v>72</v>
      </c>
      <c r="U18" s="7" t="s">
        <v>72</v>
      </c>
      <c r="V18" s="7"/>
      <c r="AA18" t="str">
        <f>VLOOKUP(C18,[1]Sheet1!$C:$U,18,0)</f>
        <v/>
      </c>
    </row>
    <row r="19" spans="1:27" x14ac:dyDescent="0.3">
      <c r="A19" s="29" t="s">
        <v>64</v>
      </c>
      <c r="B19" s="29" t="s">
        <v>102</v>
      </c>
      <c r="C19" s="29" t="s">
        <v>105</v>
      </c>
      <c r="D19" s="29" t="s">
        <v>94</v>
      </c>
      <c r="E19" s="29"/>
      <c r="F19" s="48">
        <v>45385</v>
      </c>
      <c r="G19" s="48">
        <v>45504</v>
      </c>
      <c r="H19" s="29">
        <v>2024</v>
      </c>
      <c r="I19" s="30">
        <v>136551</v>
      </c>
      <c r="J19" s="26">
        <v>0</v>
      </c>
      <c r="K19" s="26">
        <f t="shared" ref="K19" si="2">I19-J19</f>
        <v>136551</v>
      </c>
      <c r="L19" s="28">
        <v>136551</v>
      </c>
      <c r="M19" s="28">
        <f>K19-L19</f>
        <v>0</v>
      </c>
      <c r="N19" s="36" t="s">
        <v>68</v>
      </c>
      <c r="O19" s="29" t="s">
        <v>69</v>
      </c>
      <c r="P19" s="29" t="s">
        <v>70</v>
      </c>
      <c r="Q19" s="29"/>
      <c r="R19" t="s">
        <v>106</v>
      </c>
      <c r="S19" s="7" t="s">
        <v>107</v>
      </c>
      <c r="T19" s="7" t="s">
        <v>72</v>
      </c>
      <c r="U19" s="7"/>
      <c r="V19" s="7"/>
    </row>
    <row r="20" spans="1:27" x14ac:dyDescent="0.3">
      <c r="A20" s="29" t="s">
        <v>64</v>
      </c>
      <c r="B20" s="29" t="s">
        <v>102</v>
      </c>
      <c r="C20" s="29" t="s">
        <v>103</v>
      </c>
      <c r="D20" s="29" t="s">
        <v>94</v>
      </c>
      <c r="E20" s="29"/>
      <c r="F20" s="48">
        <v>45385</v>
      </c>
      <c r="G20" s="48">
        <v>45504</v>
      </c>
      <c r="H20" s="29">
        <v>2024</v>
      </c>
      <c r="I20" s="30">
        <v>3000000</v>
      </c>
      <c r="J20" s="26">
        <v>0</v>
      </c>
      <c r="K20" s="26">
        <f t="shared" si="1"/>
        <v>3000000</v>
      </c>
      <c r="L20" s="28">
        <v>3000000</v>
      </c>
      <c r="M20" s="28">
        <f t="shared" ref="M20:M24" si="3">K20-L20</f>
        <v>0</v>
      </c>
      <c r="N20" s="36" t="s">
        <v>68</v>
      </c>
      <c r="O20" s="29" t="s">
        <v>69</v>
      </c>
      <c r="P20" s="29" t="s">
        <v>77</v>
      </c>
      <c r="Q20" s="29"/>
      <c r="S20" s="7" t="s">
        <v>104</v>
      </c>
      <c r="T20" s="7" t="s">
        <v>72</v>
      </c>
      <c r="U20" s="7" t="s">
        <v>72</v>
      </c>
      <c r="V20" s="7"/>
      <c r="AA20" t="str">
        <f>VLOOKUP(C20,[1]Sheet1!$C:$U,18,0)</f>
        <v/>
      </c>
    </row>
    <row r="21" spans="1:27" x14ac:dyDescent="0.3">
      <c r="A21" s="29" t="s">
        <v>64</v>
      </c>
      <c r="B21" s="29" t="s">
        <v>102</v>
      </c>
      <c r="C21" s="29" t="s">
        <v>103</v>
      </c>
      <c r="D21" s="29" t="s">
        <v>94</v>
      </c>
      <c r="E21" s="29"/>
      <c r="F21" s="48">
        <v>45385</v>
      </c>
      <c r="G21" s="48">
        <v>45504</v>
      </c>
      <c r="H21" s="29">
        <v>2024</v>
      </c>
      <c r="I21" s="30">
        <v>5000000</v>
      </c>
      <c r="J21" s="26">
        <v>0</v>
      </c>
      <c r="K21" s="26">
        <f t="shared" si="1"/>
        <v>5000000</v>
      </c>
      <c r="L21" s="28">
        <v>5000000</v>
      </c>
      <c r="M21" s="28">
        <f t="shared" si="3"/>
        <v>0</v>
      </c>
      <c r="N21" s="36" t="s">
        <v>68</v>
      </c>
      <c r="O21" s="29" t="s">
        <v>69</v>
      </c>
      <c r="P21" s="29" t="s">
        <v>73</v>
      </c>
      <c r="Q21" s="29"/>
      <c r="S21" s="7" t="s">
        <v>104</v>
      </c>
      <c r="T21" s="7" t="s">
        <v>72</v>
      </c>
      <c r="U21" s="7" t="s">
        <v>72</v>
      </c>
      <c r="V21" s="7"/>
      <c r="AA21" t="str">
        <f>VLOOKUP(C21,[1]Sheet1!$C:$U,18,0)</f>
        <v/>
      </c>
    </row>
    <row r="22" spans="1:27" x14ac:dyDescent="0.3">
      <c r="A22" s="29" t="s">
        <v>64</v>
      </c>
      <c r="B22" s="29" t="s">
        <v>102</v>
      </c>
      <c r="C22" s="29" t="s">
        <v>108</v>
      </c>
      <c r="D22" s="29" t="s">
        <v>94</v>
      </c>
      <c r="E22" s="29"/>
      <c r="F22" s="48">
        <v>45385</v>
      </c>
      <c r="G22" s="48">
        <v>45504</v>
      </c>
      <c r="H22" s="29">
        <v>2024</v>
      </c>
      <c r="I22" s="30">
        <v>2000000</v>
      </c>
      <c r="J22" s="26">
        <v>0</v>
      </c>
      <c r="K22" s="26">
        <f t="shared" ref="K22" si="4">I22-J22</f>
        <v>2000000</v>
      </c>
      <c r="L22" s="28">
        <v>2000000</v>
      </c>
      <c r="M22" s="28">
        <f t="shared" si="3"/>
        <v>0</v>
      </c>
      <c r="N22" s="36" t="s">
        <v>68</v>
      </c>
      <c r="O22" s="29" t="s">
        <v>69</v>
      </c>
      <c r="P22" s="29" t="s">
        <v>73</v>
      </c>
      <c r="Q22" s="29"/>
      <c r="R22" t="s">
        <v>106</v>
      </c>
      <c r="S22" s="7" t="s">
        <v>109</v>
      </c>
      <c r="T22" s="7" t="s">
        <v>72</v>
      </c>
      <c r="U22" s="7"/>
      <c r="V22" s="7"/>
    </row>
    <row r="23" spans="1:27" x14ac:dyDescent="0.3">
      <c r="A23" s="29" t="s">
        <v>64</v>
      </c>
      <c r="B23" s="29" t="s">
        <v>110</v>
      </c>
      <c r="C23" s="29" t="s">
        <v>111</v>
      </c>
      <c r="D23" s="29" t="s">
        <v>67</v>
      </c>
      <c r="E23" s="29"/>
      <c r="F23" s="48">
        <v>45408</v>
      </c>
      <c r="G23" s="48">
        <v>45473</v>
      </c>
      <c r="H23" s="29">
        <v>2024</v>
      </c>
      <c r="I23" s="30">
        <v>5000000</v>
      </c>
      <c r="J23" s="26">
        <v>5000000</v>
      </c>
      <c r="K23" s="26">
        <v>0</v>
      </c>
      <c r="L23" s="28">
        <v>0</v>
      </c>
      <c r="M23" s="27">
        <f t="shared" si="3"/>
        <v>0</v>
      </c>
      <c r="N23" s="36" t="s">
        <v>86</v>
      </c>
      <c r="O23" s="29" t="s">
        <v>87</v>
      </c>
      <c r="P23" s="29" t="s">
        <v>70</v>
      </c>
      <c r="Q23" s="29"/>
      <c r="S23" s="7" t="s">
        <v>112</v>
      </c>
      <c r="T23" s="7" t="s">
        <v>72</v>
      </c>
      <c r="U23" s="7" t="s">
        <v>72</v>
      </c>
      <c r="V23" s="7" t="s">
        <v>72</v>
      </c>
      <c r="AA23" t="str">
        <f>VLOOKUP(C23,[1]Sheet1!$C:$U,18,0)</f>
        <v/>
      </c>
    </row>
    <row r="24" spans="1:27" x14ac:dyDescent="0.3">
      <c r="A24" s="29" t="s">
        <v>64</v>
      </c>
      <c r="B24" s="29" t="s">
        <v>110</v>
      </c>
      <c r="C24" s="29" t="s">
        <v>111</v>
      </c>
      <c r="D24" s="29" t="s">
        <v>67</v>
      </c>
      <c r="E24" s="29"/>
      <c r="F24" s="48">
        <v>45408</v>
      </c>
      <c r="G24" s="48">
        <v>45473</v>
      </c>
      <c r="H24" s="29">
        <v>2024</v>
      </c>
      <c r="I24" s="30">
        <v>5000000</v>
      </c>
      <c r="J24" s="26">
        <v>5000000</v>
      </c>
      <c r="K24" s="26">
        <v>0</v>
      </c>
      <c r="L24" s="28">
        <v>0</v>
      </c>
      <c r="M24" s="27">
        <f t="shared" si="3"/>
        <v>0</v>
      </c>
      <c r="N24" s="36" t="s">
        <v>86</v>
      </c>
      <c r="O24" s="29" t="s">
        <v>87</v>
      </c>
      <c r="P24" s="29" t="s">
        <v>73</v>
      </c>
      <c r="Q24" s="29"/>
      <c r="S24" s="7" t="s">
        <v>112</v>
      </c>
      <c r="T24" s="7" t="s">
        <v>72</v>
      </c>
      <c r="U24" s="7" t="s">
        <v>72</v>
      </c>
      <c r="V24" s="7" t="s">
        <v>72</v>
      </c>
      <c r="AA24" t="str">
        <f>VLOOKUP(C24,[1]Sheet1!$C:$U,18,0)</f>
        <v/>
      </c>
    </row>
    <row r="25" spans="1:27" x14ac:dyDescent="0.3">
      <c r="A25" s="29" t="s">
        <v>64</v>
      </c>
      <c r="B25" s="29" t="s">
        <v>113</v>
      </c>
      <c r="C25" s="29" t="s">
        <v>114</v>
      </c>
      <c r="D25" s="29" t="s">
        <v>94</v>
      </c>
      <c r="E25" s="29"/>
      <c r="F25" s="48">
        <v>45413</v>
      </c>
      <c r="G25" s="48">
        <v>45504</v>
      </c>
      <c r="H25" s="29">
        <v>2024</v>
      </c>
      <c r="I25" s="30">
        <v>2071109</v>
      </c>
      <c r="J25" s="26">
        <v>0</v>
      </c>
      <c r="K25" s="26">
        <f t="shared" si="1"/>
        <v>2071109</v>
      </c>
      <c r="L25" s="28">
        <v>2071109</v>
      </c>
      <c r="M25" s="28">
        <v>0</v>
      </c>
      <c r="N25" s="36" t="s">
        <v>68</v>
      </c>
      <c r="O25" s="29" t="s">
        <v>69</v>
      </c>
      <c r="P25" s="29" t="s">
        <v>70</v>
      </c>
      <c r="Q25" s="29"/>
      <c r="S25" s="7" t="s">
        <v>115</v>
      </c>
      <c r="T25" s="7" t="s">
        <v>72</v>
      </c>
      <c r="U25" s="7" t="s">
        <v>72</v>
      </c>
      <c r="V25" s="7"/>
      <c r="AA25" t="str">
        <f>VLOOKUP(C25,[1]Sheet1!$C:$U,18,0)</f>
        <v/>
      </c>
    </row>
    <row r="26" spans="1:27" x14ac:dyDescent="0.3">
      <c r="A26" s="29" t="s">
        <v>64</v>
      </c>
      <c r="B26" s="29" t="s">
        <v>113</v>
      </c>
      <c r="C26" s="29" t="s">
        <v>114</v>
      </c>
      <c r="D26" s="29" t="s">
        <v>94</v>
      </c>
      <c r="E26" s="29"/>
      <c r="F26" s="48">
        <v>45413</v>
      </c>
      <c r="G26" s="48">
        <v>45504</v>
      </c>
      <c r="H26" s="29">
        <v>2024</v>
      </c>
      <c r="I26" s="30">
        <v>3000000</v>
      </c>
      <c r="J26" s="26">
        <v>0</v>
      </c>
      <c r="K26" s="26">
        <f t="shared" si="1"/>
        <v>3000000</v>
      </c>
      <c r="L26" s="28">
        <v>3000000</v>
      </c>
      <c r="M26" s="28">
        <f>K26-L26</f>
        <v>0</v>
      </c>
      <c r="N26" s="36" t="s">
        <v>68</v>
      </c>
      <c r="O26" s="29" t="s">
        <v>69</v>
      </c>
      <c r="P26" s="29" t="s">
        <v>73</v>
      </c>
      <c r="Q26" s="29"/>
      <c r="S26" s="7" t="s">
        <v>115</v>
      </c>
      <c r="T26" s="7" t="s">
        <v>72</v>
      </c>
      <c r="U26" s="7" t="s">
        <v>72</v>
      </c>
      <c r="V26" s="7"/>
      <c r="AA26" t="str">
        <f>VLOOKUP(C26,[1]Sheet1!$C:$U,18,0)</f>
        <v/>
      </c>
    </row>
    <row r="27" spans="1:27" x14ac:dyDescent="0.3">
      <c r="A27" s="29" t="s">
        <v>64</v>
      </c>
      <c r="B27" s="29" t="s">
        <v>113</v>
      </c>
      <c r="C27" s="29" t="s">
        <v>114</v>
      </c>
      <c r="D27" s="29" t="s">
        <v>94</v>
      </c>
      <c r="E27" s="29"/>
      <c r="F27" s="48">
        <v>45413</v>
      </c>
      <c r="G27" s="48">
        <v>45504</v>
      </c>
      <c r="H27" s="29">
        <v>2024</v>
      </c>
      <c r="I27" s="30">
        <v>4000000</v>
      </c>
      <c r="J27" s="26">
        <v>0</v>
      </c>
      <c r="K27" s="26">
        <f t="shared" ref="K27" si="5">I27-J27</f>
        <v>4000000</v>
      </c>
      <c r="L27" s="28">
        <v>4000000</v>
      </c>
      <c r="M27" s="28">
        <f>K27-L27</f>
        <v>0</v>
      </c>
      <c r="N27" s="36" t="s">
        <v>68</v>
      </c>
      <c r="O27" s="29" t="s">
        <v>69</v>
      </c>
      <c r="P27" s="29" t="s">
        <v>73</v>
      </c>
      <c r="Q27" s="29"/>
      <c r="S27" s="7" t="s">
        <v>116</v>
      </c>
      <c r="T27" s="7" t="s">
        <v>72</v>
      </c>
      <c r="U27" s="7" t="s">
        <v>72</v>
      </c>
      <c r="V27" s="7"/>
    </row>
    <row r="28" spans="1:27" x14ac:dyDescent="0.3">
      <c r="A28" s="29" t="s">
        <v>64</v>
      </c>
      <c r="B28" s="29" t="s">
        <v>117</v>
      </c>
      <c r="C28" s="29" t="s">
        <v>118</v>
      </c>
      <c r="D28" s="29" t="s">
        <v>94</v>
      </c>
      <c r="E28" s="29"/>
      <c r="F28" s="48">
        <v>45427</v>
      </c>
      <c r="G28" s="48">
        <v>45535</v>
      </c>
      <c r="H28" s="29">
        <v>2024</v>
      </c>
      <c r="I28" s="30">
        <v>3000000</v>
      </c>
      <c r="J28" s="26">
        <v>0</v>
      </c>
      <c r="K28" s="26">
        <f t="shared" si="1"/>
        <v>3000000</v>
      </c>
      <c r="L28" s="28">
        <v>3000000</v>
      </c>
      <c r="M28" s="28">
        <f t="shared" ref="M28:M30" si="6">K28-L28</f>
        <v>0</v>
      </c>
      <c r="N28" s="36" t="s">
        <v>81</v>
      </c>
      <c r="O28" s="29" t="s">
        <v>82</v>
      </c>
      <c r="P28" s="29" t="s">
        <v>70</v>
      </c>
      <c r="Q28" s="29"/>
      <c r="S28" s="7" t="s">
        <v>119</v>
      </c>
      <c r="T28" s="7" t="s">
        <v>72</v>
      </c>
      <c r="U28" s="7" t="s">
        <v>72</v>
      </c>
      <c r="V28" s="7"/>
      <c r="AA28" t="str">
        <f>VLOOKUP(C28,[1]Sheet1!$C:$U,18,0)</f>
        <v/>
      </c>
    </row>
    <row r="29" spans="1:27" x14ac:dyDescent="0.3">
      <c r="A29" s="29" t="s">
        <v>64</v>
      </c>
      <c r="B29" s="29" t="s">
        <v>117</v>
      </c>
      <c r="C29" s="29" t="s">
        <v>118</v>
      </c>
      <c r="D29" s="29" t="s">
        <v>94</v>
      </c>
      <c r="E29" s="29"/>
      <c r="F29" s="48">
        <v>45427</v>
      </c>
      <c r="G29" s="48">
        <v>45535</v>
      </c>
      <c r="H29" s="29">
        <v>2024</v>
      </c>
      <c r="I29" s="30">
        <v>4000000</v>
      </c>
      <c r="J29" s="26">
        <v>0</v>
      </c>
      <c r="K29" s="26">
        <f t="shared" si="1"/>
        <v>4000000</v>
      </c>
      <c r="L29" s="28">
        <v>4000000</v>
      </c>
      <c r="M29" s="28">
        <f t="shared" si="6"/>
        <v>0</v>
      </c>
      <c r="N29" s="36" t="s">
        <v>81</v>
      </c>
      <c r="O29" s="29" t="s">
        <v>82</v>
      </c>
      <c r="P29" s="29" t="s">
        <v>73</v>
      </c>
      <c r="Q29" s="29"/>
      <c r="S29" s="7" t="s">
        <v>119</v>
      </c>
      <c r="T29" s="7" t="s">
        <v>72</v>
      </c>
      <c r="U29" s="7" t="s">
        <v>72</v>
      </c>
      <c r="V29" s="7"/>
      <c r="AA29" t="str">
        <f>VLOOKUP(C29,[1]Sheet1!$C:$U,18,0)</f>
        <v/>
      </c>
    </row>
    <row r="30" spans="1:27" x14ac:dyDescent="0.3">
      <c r="A30" s="29" t="s">
        <v>64</v>
      </c>
      <c r="B30" s="29" t="s">
        <v>120</v>
      </c>
      <c r="C30" s="29" t="s">
        <v>121</v>
      </c>
      <c r="D30" s="29" t="s">
        <v>94</v>
      </c>
      <c r="E30" s="29"/>
      <c r="F30" s="48">
        <v>45437</v>
      </c>
      <c r="G30" s="48">
        <v>45535</v>
      </c>
      <c r="H30" s="29">
        <v>2024</v>
      </c>
      <c r="I30" s="30">
        <v>2000000</v>
      </c>
      <c r="J30" s="26">
        <v>0</v>
      </c>
      <c r="K30" s="26">
        <f t="shared" si="1"/>
        <v>2000000</v>
      </c>
      <c r="L30" s="28">
        <v>2000000</v>
      </c>
      <c r="M30" s="28">
        <f t="shared" si="6"/>
        <v>0</v>
      </c>
      <c r="N30" s="36" t="s">
        <v>95</v>
      </c>
      <c r="O30" s="29" t="s">
        <v>96</v>
      </c>
      <c r="P30" s="29" t="s">
        <v>73</v>
      </c>
      <c r="Q30" s="29"/>
      <c r="R30" t="s">
        <v>106</v>
      </c>
      <c r="S30" s="7" t="s">
        <v>122</v>
      </c>
      <c r="T30" s="7" t="s">
        <v>72</v>
      </c>
      <c r="U30" s="7"/>
      <c r="V30" s="7"/>
      <c r="AA30" t="str">
        <f>VLOOKUP(C30,[1]Sheet1!$C:$U,18,0)</f>
        <v/>
      </c>
    </row>
    <row r="31" spans="1:27" x14ac:dyDescent="0.3">
      <c r="A31" s="29" t="s">
        <v>64</v>
      </c>
      <c r="B31" s="29" t="s">
        <v>123</v>
      </c>
      <c r="C31" s="29" t="s">
        <v>124</v>
      </c>
      <c r="D31" s="29" t="s">
        <v>94</v>
      </c>
      <c r="E31" s="29"/>
      <c r="F31" s="48">
        <v>45442</v>
      </c>
      <c r="G31" s="48">
        <v>45473</v>
      </c>
      <c r="H31" s="29">
        <v>2024</v>
      </c>
      <c r="I31" s="30">
        <v>1000000</v>
      </c>
      <c r="J31" s="26">
        <v>0</v>
      </c>
      <c r="K31" s="26">
        <f t="shared" si="1"/>
        <v>1000000</v>
      </c>
      <c r="L31" s="28">
        <v>1000000</v>
      </c>
      <c r="M31" s="28">
        <f>K31-L31</f>
        <v>0</v>
      </c>
      <c r="N31" s="36" t="s">
        <v>86</v>
      </c>
      <c r="O31" s="29" t="s">
        <v>87</v>
      </c>
      <c r="P31" s="29" t="s">
        <v>70</v>
      </c>
      <c r="Q31" s="29"/>
      <c r="S31" s="7" t="s">
        <v>116</v>
      </c>
      <c r="T31" s="7" t="s">
        <v>72</v>
      </c>
      <c r="U31" s="7" t="s">
        <v>72</v>
      </c>
      <c r="V31" s="7"/>
      <c r="AA31" t="str">
        <f>VLOOKUP(C31,[1]Sheet1!$C:$U,18,0)</f>
        <v/>
      </c>
    </row>
    <row r="32" spans="1:27" x14ac:dyDescent="0.3">
      <c r="A32" s="29" t="s">
        <v>64</v>
      </c>
      <c r="B32" s="29" t="s">
        <v>123</v>
      </c>
      <c r="C32" s="29" t="s">
        <v>124</v>
      </c>
      <c r="D32" s="29" t="s">
        <v>94</v>
      </c>
      <c r="E32" s="29"/>
      <c r="F32" s="48">
        <v>45442</v>
      </c>
      <c r="G32" s="48">
        <v>45473</v>
      </c>
      <c r="H32" s="29">
        <v>2024</v>
      </c>
      <c r="I32" s="30">
        <v>2000000</v>
      </c>
      <c r="J32" s="26">
        <v>0</v>
      </c>
      <c r="K32" s="26">
        <f t="shared" si="1"/>
        <v>2000000</v>
      </c>
      <c r="L32" s="28">
        <v>2000000</v>
      </c>
      <c r="M32" s="28">
        <f>K32-L32</f>
        <v>0</v>
      </c>
      <c r="N32" s="36" t="s">
        <v>86</v>
      </c>
      <c r="O32" s="29" t="s">
        <v>87</v>
      </c>
      <c r="P32" s="29" t="s">
        <v>73</v>
      </c>
      <c r="Q32" s="29"/>
      <c r="S32" s="7" t="s">
        <v>116</v>
      </c>
      <c r="T32" s="7" t="s">
        <v>72</v>
      </c>
      <c r="U32" s="7" t="s">
        <v>72</v>
      </c>
      <c r="V32" s="7"/>
      <c r="AA32" t="str">
        <f>VLOOKUP(C32,[1]Sheet1!$C:$U,18,0)</f>
        <v/>
      </c>
    </row>
    <row r="33" spans="1:27" x14ac:dyDescent="0.3">
      <c r="A33" s="29" t="s">
        <v>64</v>
      </c>
      <c r="B33" s="29" t="s">
        <v>125</v>
      </c>
      <c r="C33" s="29" t="s">
        <v>126</v>
      </c>
      <c r="D33" s="29" t="s">
        <v>94</v>
      </c>
      <c r="E33" s="29"/>
      <c r="F33" s="48">
        <v>45444</v>
      </c>
      <c r="G33" s="48">
        <v>45535</v>
      </c>
      <c r="H33" s="29">
        <v>2024</v>
      </c>
      <c r="I33" s="30">
        <v>1000000</v>
      </c>
      <c r="J33" s="26">
        <v>0</v>
      </c>
      <c r="K33" s="26">
        <f t="shared" si="1"/>
        <v>1000000</v>
      </c>
      <c r="L33" s="28">
        <v>1000000</v>
      </c>
      <c r="M33" s="28">
        <f t="shared" ref="M33:M34" si="7">K33-L33</f>
        <v>0</v>
      </c>
      <c r="N33" s="36" t="s">
        <v>86</v>
      </c>
      <c r="O33" s="29" t="s">
        <v>87</v>
      </c>
      <c r="P33" s="29" t="s">
        <v>70</v>
      </c>
      <c r="Q33" s="29"/>
      <c r="S33" s="7" t="s">
        <v>127</v>
      </c>
      <c r="T33" s="7" t="s">
        <v>72</v>
      </c>
      <c r="U33" s="7" t="s">
        <v>72</v>
      </c>
      <c r="V33" s="7"/>
      <c r="AA33" t="str">
        <f>VLOOKUP(C33,[1]Sheet1!$C:$U,18,0)</f>
        <v/>
      </c>
    </row>
    <row r="34" spans="1:27" x14ac:dyDescent="0.3">
      <c r="A34" s="29" t="s">
        <v>64</v>
      </c>
      <c r="B34" s="29" t="s">
        <v>125</v>
      </c>
      <c r="C34" s="29" t="s">
        <v>126</v>
      </c>
      <c r="D34" s="29" t="s">
        <v>94</v>
      </c>
      <c r="E34" s="29"/>
      <c r="F34" s="48">
        <v>45444</v>
      </c>
      <c r="G34" s="48">
        <v>45535</v>
      </c>
      <c r="H34" s="29">
        <v>2024</v>
      </c>
      <c r="I34" s="30">
        <v>2000000</v>
      </c>
      <c r="J34" s="26">
        <v>0</v>
      </c>
      <c r="K34" s="26">
        <f t="shared" si="1"/>
        <v>2000000</v>
      </c>
      <c r="L34" s="28">
        <v>2000000</v>
      </c>
      <c r="M34" s="28">
        <f t="shared" si="7"/>
        <v>0</v>
      </c>
      <c r="N34" s="36" t="s">
        <v>86</v>
      </c>
      <c r="O34" s="29" t="s">
        <v>87</v>
      </c>
      <c r="P34" s="29" t="s">
        <v>73</v>
      </c>
      <c r="Q34" s="29"/>
      <c r="S34" s="7" t="s">
        <v>127</v>
      </c>
      <c r="T34" s="7" t="s">
        <v>72</v>
      </c>
      <c r="U34" s="7" t="s">
        <v>72</v>
      </c>
      <c r="V34" s="7"/>
      <c r="AA34" t="str">
        <f>VLOOKUP(C34,[1]Sheet1!$C:$U,18,0)</f>
        <v/>
      </c>
    </row>
    <row r="35" spans="1:27" x14ac:dyDescent="0.3">
      <c r="A35" s="29" t="s">
        <v>64</v>
      </c>
      <c r="B35" s="29" t="s">
        <v>128</v>
      </c>
      <c r="C35" s="29" t="s">
        <v>129</v>
      </c>
      <c r="D35" s="29" t="s">
        <v>94</v>
      </c>
      <c r="E35" s="29"/>
      <c r="F35" s="48">
        <v>45444</v>
      </c>
      <c r="G35" s="48">
        <v>45535</v>
      </c>
      <c r="H35" s="29">
        <v>2024</v>
      </c>
      <c r="I35" s="30">
        <v>3000000</v>
      </c>
      <c r="J35" s="26">
        <v>0</v>
      </c>
      <c r="K35" s="26">
        <f t="shared" si="1"/>
        <v>3000000</v>
      </c>
      <c r="L35" s="28">
        <v>3000000</v>
      </c>
      <c r="M35" s="28">
        <f t="shared" ref="M35:M46" si="8">K35-L35</f>
        <v>0</v>
      </c>
      <c r="N35" s="36" t="s">
        <v>68</v>
      </c>
      <c r="O35" s="29" t="s">
        <v>69</v>
      </c>
      <c r="P35" s="29" t="s">
        <v>70</v>
      </c>
      <c r="Q35" s="29"/>
      <c r="S35" s="7" t="s">
        <v>119</v>
      </c>
      <c r="T35" s="7" t="s">
        <v>72</v>
      </c>
      <c r="U35" s="7" t="s">
        <v>72</v>
      </c>
      <c r="V35" s="7"/>
    </row>
    <row r="36" spans="1:27" x14ac:dyDescent="0.3">
      <c r="A36" s="29" t="s">
        <v>64</v>
      </c>
      <c r="B36" s="29" t="s">
        <v>128</v>
      </c>
      <c r="C36" s="29" t="s">
        <v>129</v>
      </c>
      <c r="D36" s="29" t="s">
        <v>94</v>
      </c>
      <c r="E36" s="29"/>
      <c r="F36" s="48">
        <v>45444</v>
      </c>
      <c r="G36" s="48">
        <v>45535</v>
      </c>
      <c r="H36" s="29">
        <v>2024</v>
      </c>
      <c r="I36" s="30">
        <v>2800000</v>
      </c>
      <c r="J36" s="26">
        <v>0</v>
      </c>
      <c r="K36" s="26">
        <f t="shared" si="1"/>
        <v>2800000</v>
      </c>
      <c r="L36" s="28">
        <v>2800000</v>
      </c>
      <c r="M36" s="28">
        <f t="shared" si="8"/>
        <v>0</v>
      </c>
      <c r="N36" s="36" t="s">
        <v>68</v>
      </c>
      <c r="O36" s="29" t="s">
        <v>69</v>
      </c>
      <c r="P36" s="29" t="s">
        <v>73</v>
      </c>
      <c r="Q36" s="29"/>
      <c r="S36" s="7" t="s">
        <v>119</v>
      </c>
      <c r="T36" s="7" t="s">
        <v>72</v>
      </c>
      <c r="U36" s="7" t="s">
        <v>72</v>
      </c>
      <c r="V36" s="7"/>
    </row>
    <row r="37" spans="1:27" x14ac:dyDescent="0.3">
      <c r="A37" s="29" t="s">
        <v>64</v>
      </c>
      <c r="B37" s="29" t="s">
        <v>128</v>
      </c>
      <c r="C37" s="29" t="s">
        <v>129</v>
      </c>
      <c r="D37" s="29" t="s">
        <v>94</v>
      </c>
      <c r="E37" s="29"/>
      <c r="F37" s="48">
        <v>45444</v>
      </c>
      <c r="G37" s="48">
        <v>45535</v>
      </c>
      <c r="H37" s="29">
        <v>2024</v>
      </c>
      <c r="I37" s="30">
        <v>2500000</v>
      </c>
      <c r="J37" s="26">
        <v>0</v>
      </c>
      <c r="K37" s="26">
        <f t="shared" ref="K37" si="9">I37-J37</f>
        <v>2500000</v>
      </c>
      <c r="L37" s="28">
        <v>2500000</v>
      </c>
      <c r="M37" s="28">
        <f t="shared" si="8"/>
        <v>0</v>
      </c>
      <c r="N37" s="36" t="s">
        <v>68</v>
      </c>
      <c r="O37" s="29" t="s">
        <v>69</v>
      </c>
      <c r="P37" s="29" t="s">
        <v>73</v>
      </c>
      <c r="Q37" s="29"/>
      <c r="S37" s="7" t="s">
        <v>130</v>
      </c>
      <c r="T37" s="7" t="s">
        <v>72</v>
      </c>
      <c r="U37" s="7" t="s">
        <v>72</v>
      </c>
      <c r="V37" s="7"/>
    </row>
    <row r="38" spans="1:27" x14ac:dyDescent="0.3">
      <c r="A38" s="29" t="s">
        <v>64</v>
      </c>
      <c r="B38" s="29" t="s">
        <v>131</v>
      </c>
      <c r="C38" s="29" t="s">
        <v>132</v>
      </c>
      <c r="D38" s="29" t="s">
        <v>94</v>
      </c>
      <c r="E38" s="29"/>
      <c r="F38" s="48">
        <v>45473</v>
      </c>
      <c r="G38" s="48">
        <v>45565</v>
      </c>
      <c r="H38" s="29">
        <v>2024</v>
      </c>
      <c r="I38" s="30">
        <v>1000001</v>
      </c>
      <c r="J38" s="26">
        <v>0</v>
      </c>
      <c r="K38" s="26">
        <f t="shared" si="1"/>
        <v>1000001</v>
      </c>
      <c r="L38" s="28">
        <v>1000001</v>
      </c>
      <c r="M38" s="28">
        <f t="shared" si="8"/>
        <v>0</v>
      </c>
      <c r="N38" s="36" t="s">
        <v>68</v>
      </c>
      <c r="O38" s="29" t="s">
        <v>69</v>
      </c>
      <c r="P38" s="29" t="s">
        <v>73</v>
      </c>
      <c r="Q38" s="29"/>
      <c r="R38" t="s">
        <v>106</v>
      </c>
      <c r="S38" s="7" t="s">
        <v>133</v>
      </c>
      <c r="T38" s="7" t="s">
        <v>72</v>
      </c>
      <c r="U38" s="7"/>
      <c r="V38" s="7"/>
    </row>
    <row r="39" spans="1:27" x14ac:dyDescent="0.3">
      <c r="A39" s="29" t="s">
        <v>64</v>
      </c>
      <c r="B39" s="29" t="s">
        <v>131</v>
      </c>
      <c r="C39" s="29" t="s">
        <v>134</v>
      </c>
      <c r="D39" s="29" t="s">
        <v>94</v>
      </c>
      <c r="E39" s="29"/>
      <c r="F39" s="48">
        <v>45473</v>
      </c>
      <c r="G39" s="48">
        <v>45565</v>
      </c>
      <c r="H39" s="29">
        <v>2024</v>
      </c>
      <c r="I39" s="30">
        <v>2999999</v>
      </c>
      <c r="J39" s="26">
        <v>0</v>
      </c>
      <c r="K39" s="26">
        <f t="shared" ref="K39" si="10">I39-J39</f>
        <v>2999999</v>
      </c>
      <c r="L39" s="28">
        <v>2999999</v>
      </c>
      <c r="M39" s="28">
        <f t="shared" si="8"/>
        <v>0</v>
      </c>
      <c r="N39" s="36" t="s">
        <v>68</v>
      </c>
      <c r="O39" s="29" t="s">
        <v>69</v>
      </c>
      <c r="P39" s="29" t="s">
        <v>73</v>
      </c>
      <c r="Q39" s="29"/>
      <c r="R39" t="s">
        <v>106</v>
      </c>
      <c r="S39" s="7" t="s">
        <v>109</v>
      </c>
      <c r="T39" s="7" t="s">
        <v>72</v>
      </c>
      <c r="U39" s="7"/>
      <c r="V39" s="7"/>
    </row>
    <row r="40" spans="1:27" x14ac:dyDescent="0.3">
      <c r="A40" s="29" t="s">
        <v>64</v>
      </c>
      <c r="B40" s="29" t="s">
        <v>131</v>
      </c>
      <c r="C40" s="29" t="s">
        <v>134</v>
      </c>
      <c r="D40" s="29" t="s">
        <v>94</v>
      </c>
      <c r="E40" s="29"/>
      <c r="F40" s="48">
        <v>45473</v>
      </c>
      <c r="G40" s="48">
        <v>45565</v>
      </c>
      <c r="H40" s="29">
        <v>2024</v>
      </c>
      <c r="I40" s="30">
        <v>3500000</v>
      </c>
      <c r="J40" s="26">
        <v>0</v>
      </c>
      <c r="K40" s="26">
        <f t="shared" si="1"/>
        <v>3500000</v>
      </c>
      <c r="L40" s="28">
        <v>3500000</v>
      </c>
      <c r="M40" s="28">
        <f t="shared" si="8"/>
        <v>0</v>
      </c>
      <c r="N40" s="36" t="s">
        <v>68</v>
      </c>
      <c r="O40" s="29" t="s">
        <v>69</v>
      </c>
      <c r="P40" s="29" t="s">
        <v>77</v>
      </c>
      <c r="Q40" s="29"/>
      <c r="R40" t="s">
        <v>106</v>
      </c>
      <c r="S40" s="7" t="s">
        <v>109</v>
      </c>
      <c r="T40" s="7" t="s">
        <v>72</v>
      </c>
      <c r="U40" s="7"/>
      <c r="V40" s="7"/>
    </row>
    <row r="41" spans="1:27" x14ac:dyDescent="0.3">
      <c r="A41" s="29" t="s">
        <v>64</v>
      </c>
      <c r="B41" s="29" t="s">
        <v>135</v>
      </c>
      <c r="C41" s="29" t="s">
        <v>136</v>
      </c>
      <c r="D41" s="29" t="s">
        <v>94</v>
      </c>
      <c r="E41" s="29"/>
      <c r="F41" s="48">
        <v>45473</v>
      </c>
      <c r="G41" s="48">
        <v>45565</v>
      </c>
      <c r="H41" s="29">
        <v>2024</v>
      </c>
      <c r="I41" s="30">
        <v>4000000</v>
      </c>
      <c r="J41" s="26">
        <v>0</v>
      </c>
      <c r="K41" s="26">
        <f t="shared" si="1"/>
        <v>4000000</v>
      </c>
      <c r="L41" s="28">
        <v>4000000</v>
      </c>
      <c r="M41" s="28">
        <f t="shared" si="8"/>
        <v>0</v>
      </c>
      <c r="N41" s="36" t="s">
        <v>68</v>
      </c>
      <c r="O41" s="29" t="s">
        <v>69</v>
      </c>
      <c r="P41" s="29" t="s">
        <v>73</v>
      </c>
      <c r="Q41" s="29"/>
      <c r="S41" s="7" t="s">
        <v>137</v>
      </c>
      <c r="T41" s="7" t="s">
        <v>72</v>
      </c>
      <c r="U41" s="7" t="s">
        <v>72</v>
      </c>
      <c r="V41" s="7"/>
    </row>
    <row r="42" spans="1:27" x14ac:dyDescent="0.3">
      <c r="A42" s="29" t="s">
        <v>64</v>
      </c>
      <c r="B42" s="29" t="s">
        <v>135</v>
      </c>
      <c r="C42" s="29" t="s">
        <v>136</v>
      </c>
      <c r="D42" s="29" t="s">
        <v>94</v>
      </c>
      <c r="E42" s="29"/>
      <c r="F42" s="48">
        <v>45473</v>
      </c>
      <c r="G42" s="48">
        <v>45565</v>
      </c>
      <c r="H42" s="29">
        <v>2024</v>
      </c>
      <c r="I42" s="30">
        <v>1000000</v>
      </c>
      <c r="J42" s="26">
        <v>0</v>
      </c>
      <c r="K42" s="26">
        <f t="shared" ref="K42" si="11">I42-J42</f>
        <v>1000000</v>
      </c>
      <c r="L42" s="28">
        <v>1000000</v>
      </c>
      <c r="M42" s="28">
        <f t="shared" si="8"/>
        <v>0</v>
      </c>
      <c r="N42" s="36" t="s">
        <v>68</v>
      </c>
      <c r="O42" s="29" t="s">
        <v>69</v>
      </c>
      <c r="P42" s="29" t="s">
        <v>73</v>
      </c>
      <c r="Q42" s="29"/>
      <c r="S42" s="7" t="s">
        <v>138</v>
      </c>
      <c r="T42" s="7" t="s">
        <v>72</v>
      </c>
      <c r="U42" s="7" t="s">
        <v>72</v>
      </c>
      <c r="V42" s="7"/>
    </row>
    <row r="43" spans="1:27" x14ac:dyDescent="0.3">
      <c r="A43" s="29" t="s">
        <v>64</v>
      </c>
      <c r="B43" s="29" t="s">
        <v>135</v>
      </c>
      <c r="C43" s="29" t="s">
        <v>136</v>
      </c>
      <c r="D43" s="29" t="s">
        <v>94</v>
      </c>
      <c r="E43" s="29"/>
      <c r="F43" s="48">
        <v>45473</v>
      </c>
      <c r="G43" s="48">
        <v>45565</v>
      </c>
      <c r="H43" s="29">
        <v>2024</v>
      </c>
      <c r="I43" s="30">
        <v>3000000</v>
      </c>
      <c r="J43" s="26">
        <v>0</v>
      </c>
      <c r="K43" s="26">
        <f t="shared" si="1"/>
        <v>3000000</v>
      </c>
      <c r="L43" s="28">
        <v>3000000</v>
      </c>
      <c r="M43" s="28">
        <f t="shared" si="8"/>
        <v>0</v>
      </c>
      <c r="N43" s="36" t="s">
        <v>68</v>
      </c>
      <c r="O43" s="29" t="s">
        <v>69</v>
      </c>
      <c r="P43" s="29" t="s">
        <v>77</v>
      </c>
      <c r="Q43" s="29"/>
      <c r="S43" s="7" t="s">
        <v>138</v>
      </c>
      <c r="T43" s="7" t="s">
        <v>72</v>
      </c>
      <c r="U43" s="7" t="s">
        <v>72</v>
      </c>
      <c r="V43" s="7"/>
    </row>
    <row r="44" spans="1:27" x14ac:dyDescent="0.3">
      <c r="A44" s="29" t="s">
        <v>64</v>
      </c>
      <c r="B44" s="29" t="s">
        <v>135</v>
      </c>
      <c r="C44" s="29" t="s">
        <v>139</v>
      </c>
      <c r="D44" s="29" t="s">
        <v>94</v>
      </c>
      <c r="E44" s="29"/>
      <c r="F44" s="48">
        <v>45473</v>
      </c>
      <c r="G44" s="48">
        <v>45565</v>
      </c>
      <c r="H44" s="29">
        <v>2024</v>
      </c>
      <c r="I44" s="30">
        <v>2000000</v>
      </c>
      <c r="J44" s="26">
        <v>0</v>
      </c>
      <c r="K44" s="26">
        <f t="shared" ref="K44" si="12">I44-J44</f>
        <v>2000000</v>
      </c>
      <c r="L44" s="28">
        <v>2000000</v>
      </c>
      <c r="M44" s="28">
        <f t="shared" si="8"/>
        <v>0</v>
      </c>
      <c r="N44" s="36" t="s">
        <v>68</v>
      </c>
      <c r="O44" s="29" t="s">
        <v>69</v>
      </c>
      <c r="P44" s="29" t="s">
        <v>77</v>
      </c>
      <c r="Q44" s="29"/>
      <c r="R44" t="s">
        <v>106</v>
      </c>
      <c r="S44" s="7" t="s">
        <v>109</v>
      </c>
      <c r="T44" s="7" t="s">
        <v>72</v>
      </c>
      <c r="U44" s="7"/>
      <c r="V44" s="7"/>
    </row>
    <row r="45" spans="1:27" x14ac:dyDescent="0.3">
      <c r="A45" s="29" t="s">
        <v>64</v>
      </c>
      <c r="B45" s="29" t="s">
        <v>140</v>
      </c>
      <c r="C45" s="29" t="s">
        <v>141</v>
      </c>
      <c r="D45" s="29" t="s">
        <v>94</v>
      </c>
      <c r="E45" s="29"/>
      <c r="F45" s="48">
        <v>45485</v>
      </c>
      <c r="G45" s="48">
        <v>45565</v>
      </c>
      <c r="H45" s="29">
        <v>2024</v>
      </c>
      <c r="I45" s="30">
        <v>2000000</v>
      </c>
      <c r="J45" s="26">
        <v>0</v>
      </c>
      <c r="K45" s="26">
        <f t="shared" si="1"/>
        <v>2000000</v>
      </c>
      <c r="L45" s="28">
        <v>2000000</v>
      </c>
      <c r="M45" s="28">
        <f t="shared" si="8"/>
        <v>0</v>
      </c>
      <c r="N45" s="36" t="s">
        <v>68</v>
      </c>
      <c r="O45" s="29" t="s">
        <v>69</v>
      </c>
      <c r="P45" s="29" t="s">
        <v>70</v>
      </c>
      <c r="Q45" s="29"/>
      <c r="S45" s="7" t="s">
        <v>127</v>
      </c>
      <c r="T45" s="7" t="s">
        <v>72</v>
      </c>
      <c r="U45" s="7" t="s">
        <v>72</v>
      </c>
      <c r="V45" s="7"/>
    </row>
    <row r="46" spans="1:27" x14ac:dyDescent="0.3">
      <c r="A46" s="29" t="s">
        <v>64</v>
      </c>
      <c r="B46" s="29" t="s">
        <v>140</v>
      </c>
      <c r="C46" s="29" t="s">
        <v>141</v>
      </c>
      <c r="D46" s="29" t="s">
        <v>94</v>
      </c>
      <c r="E46" s="29"/>
      <c r="F46" s="48">
        <v>45485</v>
      </c>
      <c r="G46" s="48">
        <v>45565</v>
      </c>
      <c r="H46" s="29">
        <v>2024</v>
      </c>
      <c r="I46" s="30">
        <v>7000000</v>
      </c>
      <c r="J46" s="26">
        <v>0</v>
      </c>
      <c r="K46" s="26">
        <f t="shared" si="1"/>
        <v>7000000</v>
      </c>
      <c r="L46" s="28">
        <v>7000000</v>
      </c>
      <c r="M46" s="28">
        <f t="shared" si="8"/>
        <v>0</v>
      </c>
      <c r="N46" s="36" t="s">
        <v>68</v>
      </c>
      <c r="O46" s="29" t="s">
        <v>69</v>
      </c>
      <c r="P46" s="29" t="s">
        <v>73</v>
      </c>
      <c r="Q46" s="29"/>
      <c r="S46" s="7" t="s">
        <v>127</v>
      </c>
      <c r="T46" s="7" t="s">
        <v>72</v>
      </c>
      <c r="U46" s="7" t="s">
        <v>72</v>
      </c>
      <c r="V46" s="7"/>
    </row>
    <row r="47" spans="1:27" x14ac:dyDescent="0.3">
      <c r="A47" s="29" t="s">
        <v>64</v>
      </c>
      <c r="B47" s="29" t="s">
        <v>142</v>
      </c>
      <c r="C47" s="29" t="s">
        <v>143</v>
      </c>
      <c r="D47" s="29" t="s">
        <v>94</v>
      </c>
      <c r="E47" s="29"/>
      <c r="F47" s="48">
        <v>45485</v>
      </c>
      <c r="G47" s="48">
        <v>45565</v>
      </c>
      <c r="H47" s="29">
        <v>2024</v>
      </c>
      <c r="I47" s="30">
        <v>3000000</v>
      </c>
      <c r="J47" s="26">
        <v>0</v>
      </c>
      <c r="K47" s="26">
        <f t="shared" si="1"/>
        <v>3000000</v>
      </c>
      <c r="L47" s="28">
        <v>3000000</v>
      </c>
      <c r="M47" s="28">
        <f t="shared" ref="M47:M48" si="13">K47-L47</f>
        <v>0</v>
      </c>
      <c r="N47" s="36" t="s">
        <v>95</v>
      </c>
      <c r="O47" s="29" t="s">
        <v>96</v>
      </c>
      <c r="P47" s="29" t="s">
        <v>73</v>
      </c>
      <c r="Q47" s="29"/>
      <c r="S47" s="7" t="s">
        <v>144</v>
      </c>
      <c r="T47" s="7" t="s">
        <v>72</v>
      </c>
      <c r="U47" s="7" t="s">
        <v>72</v>
      </c>
      <c r="V47" s="7"/>
      <c r="AA47" t="str">
        <f>VLOOKUP(C47,[1]Sheet1!$C:$U,18,0)</f>
        <v/>
      </c>
    </row>
    <row r="48" spans="1:27" x14ac:dyDescent="0.3">
      <c r="A48" s="29" t="s">
        <v>64</v>
      </c>
      <c r="B48" s="29" t="s">
        <v>142</v>
      </c>
      <c r="C48" s="29" t="s">
        <v>143</v>
      </c>
      <c r="D48" s="29" t="s">
        <v>94</v>
      </c>
      <c r="E48" s="29"/>
      <c r="F48" s="48">
        <v>45485</v>
      </c>
      <c r="G48" s="48">
        <v>45565</v>
      </c>
      <c r="H48" s="29">
        <v>2024</v>
      </c>
      <c r="I48" s="30">
        <v>2000000</v>
      </c>
      <c r="J48" s="26">
        <v>0</v>
      </c>
      <c r="K48" s="26">
        <f t="shared" si="1"/>
        <v>2000000</v>
      </c>
      <c r="L48" s="28">
        <v>2000000</v>
      </c>
      <c r="M48" s="28">
        <f t="shared" si="13"/>
        <v>0</v>
      </c>
      <c r="N48" s="36" t="s">
        <v>95</v>
      </c>
      <c r="O48" s="29" t="s">
        <v>96</v>
      </c>
      <c r="P48" s="29" t="s">
        <v>70</v>
      </c>
      <c r="Q48" s="29"/>
      <c r="S48" s="7" t="s">
        <v>144</v>
      </c>
      <c r="T48" s="7" t="s">
        <v>72</v>
      </c>
      <c r="U48" s="7" t="s">
        <v>72</v>
      </c>
      <c r="V48" s="7"/>
      <c r="AA48" t="str">
        <f>VLOOKUP(C48,[1]Sheet1!$C:$U,18,0)</f>
        <v/>
      </c>
    </row>
    <row r="49" spans="1:27" x14ac:dyDescent="0.3">
      <c r="A49" s="29" t="s">
        <v>64</v>
      </c>
      <c r="B49" s="29" t="s">
        <v>145</v>
      </c>
      <c r="C49" s="29" t="s">
        <v>146</v>
      </c>
      <c r="D49" s="29" t="s">
        <v>94</v>
      </c>
      <c r="E49" s="29"/>
      <c r="F49" s="48">
        <v>45485</v>
      </c>
      <c r="G49" s="48">
        <v>45565</v>
      </c>
      <c r="H49" s="29">
        <v>2024</v>
      </c>
      <c r="I49" s="30">
        <v>2000000</v>
      </c>
      <c r="J49" s="26">
        <v>0</v>
      </c>
      <c r="K49" s="26">
        <f t="shared" si="1"/>
        <v>2000000</v>
      </c>
      <c r="L49" s="28">
        <v>2000000</v>
      </c>
      <c r="M49" s="28">
        <f>K49-L49</f>
        <v>0</v>
      </c>
      <c r="N49" s="36" t="s">
        <v>86</v>
      </c>
      <c r="O49" s="29" t="s">
        <v>87</v>
      </c>
      <c r="P49" s="29" t="s">
        <v>70</v>
      </c>
      <c r="Q49" s="29"/>
      <c r="S49" s="7" t="s">
        <v>147</v>
      </c>
      <c r="T49" s="7" t="s">
        <v>72</v>
      </c>
      <c r="U49" s="7" t="s">
        <v>72</v>
      </c>
      <c r="V49" s="7"/>
      <c r="AA49" t="str">
        <f>VLOOKUP(C49,[1]Sheet1!$C:$U,18,0)</f>
        <v/>
      </c>
    </row>
    <row r="50" spans="1:27" x14ac:dyDescent="0.3">
      <c r="A50" s="29" t="s">
        <v>64</v>
      </c>
      <c r="B50" s="29" t="s">
        <v>145</v>
      </c>
      <c r="C50" s="29" t="s">
        <v>146</v>
      </c>
      <c r="D50" s="29" t="s">
        <v>94</v>
      </c>
      <c r="E50" s="29"/>
      <c r="F50" s="48">
        <v>45485</v>
      </c>
      <c r="G50" s="48">
        <v>45565</v>
      </c>
      <c r="H50" s="29">
        <v>2024</v>
      </c>
      <c r="I50" s="30">
        <v>4000000</v>
      </c>
      <c r="J50" s="26">
        <v>0</v>
      </c>
      <c r="K50" s="26">
        <f t="shared" si="1"/>
        <v>4000000</v>
      </c>
      <c r="L50" s="28">
        <v>4000000</v>
      </c>
      <c r="M50" s="28">
        <f>K50-L50</f>
        <v>0</v>
      </c>
      <c r="N50" s="36" t="s">
        <v>86</v>
      </c>
      <c r="O50" s="29" t="s">
        <v>87</v>
      </c>
      <c r="P50" s="29" t="s">
        <v>73</v>
      </c>
      <c r="Q50" s="29"/>
      <c r="S50" s="7" t="s">
        <v>147</v>
      </c>
      <c r="T50" s="7" t="s">
        <v>72</v>
      </c>
      <c r="U50" s="7" t="s">
        <v>72</v>
      </c>
      <c r="V50" s="7"/>
      <c r="AA50" t="str">
        <f>VLOOKUP(C50,[1]Sheet1!$C:$U,18,0)</f>
        <v/>
      </c>
    </row>
    <row r="51" spans="1:27" x14ac:dyDescent="0.3">
      <c r="A51" s="29" t="s">
        <v>64</v>
      </c>
      <c r="B51" s="29" t="s">
        <v>148</v>
      </c>
      <c r="C51" s="29" t="s">
        <v>149</v>
      </c>
      <c r="D51" s="29" t="s">
        <v>94</v>
      </c>
      <c r="E51" s="29"/>
      <c r="F51" s="48">
        <v>45513</v>
      </c>
      <c r="G51" s="48">
        <v>45626</v>
      </c>
      <c r="H51" s="29">
        <v>2024</v>
      </c>
      <c r="I51" s="30">
        <v>2000000</v>
      </c>
      <c r="J51" s="26">
        <v>0</v>
      </c>
      <c r="K51" s="26">
        <f t="shared" si="1"/>
        <v>2000000</v>
      </c>
      <c r="L51" s="28">
        <v>2000000</v>
      </c>
      <c r="M51" s="28">
        <f t="shared" ref="M51:M55" si="14">K51-L51</f>
        <v>0</v>
      </c>
      <c r="N51" s="36" t="s">
        <v>86</v>
      </c>
      <c r="O51" s="29" t="s">
        <v>87</v>
      </c>
      <c r="P51" s="29" t="s">
        <v>70</v>
      </c>
      <c r="Q51" s="29"/>
      <c r="S51" s="7" t="s">
        <v>147</v>
      </c>
      <c r="T51" s="7" t="s">
        <v>72</v>
      </c>
      <c r="U51" s="7" t="s">
        <v>72</v>
      </c>
      <c r="V51" s="7"/>
      <c r="AA51" t="str">
        <f>VLOOKUP(C51,[1]Sheet1!$C:$U,18,0)</f>
        <v/>
      </c>
    </row>
    <row r="52" spans="1:27" x14ac:dyDescent="0.3">
      <c r="A52" s="29" t="s">
        <v>64</v>
      </c>
      <c r="B52" s="29" t="s">
        <v>148</v>
      </c>
      <c r="C52" s="29" t="s">
        <v>150</v>
      </c>
      <c r="D52" s="29" t="s">
        <v>94</v>
      </c>
      <c r="E52" s="29"/>
      <c r="F52" s="48">
        <v>45513</v>
      </c>
      <c r="G52" s="48">
        <v>45626</v>
      </c>
      <c r="H52" s="29">
        <v>2024</v>
      </c>
      <c r="I52" s="30">
        <v>1500001</v>
      </c>
      <c r="J52" s="26">
        <v>0</v>
      </c>
      <c r="K52" s="26">
        <f t="shared" ref="K52" si="15">I52-J52</f>
        <v>1500001</v>
      </c>
      <c r="L52" s="28">
        <v>1500001</v>
      </c>
      <c r="M52" s="28">
        <f t="shared" ref="M52:M53" si="16">K52-L52</f>
        <v>0</v>
      </c>
      <c r="N52" s="36" t="s">
        <v>86</v>
      </c>
      <c r="O52" s="29" t="s">
        <v>87</v>
      </c>
      <c r="P52" s="29" t="s">
        <v>70</v>
      </c>
      <c r="Q52" s="29"/>
      <c r="R52" t="s">
        <v>106</v>
      </c>
      <c r="S52" s="7" t="s">
        <v>109</v>
      </c>
      <c r="T52" s="7" t="s">
        <v>72</v>
      </c>
      <c r="U52" s="7"/>
      <c r="V52" s="7"/>
    </row>
    <row r="53" spans="1:27" x14ac:dyDescent="0.3">
      <c r="A53" s="29" t="s">
        <v>64</v>
      </c>
      <c r="B53" s="29" t="s">
        <v>148</v>
      </c>
      <c r="C53" s="29" t="s">
        <v>151</v>
      </c>
      <c r="D53" s="29" t="s">
        <v>94</v>
      </c>
      <c r="E53" s="29"/>
      <c r="F53" s="48">
        <v>45513</v>
      </c>
      <c r="G53" s="48">
        <v>45626</v>
      </c>
      <c r="H53" s="29">
        <v>2024</v>
      </c>
      <c r="I53" s="30">
        <v>1499999</v>
      </c>
      <c r="J53" s="26">
        <v>0</v>
      </c>
      <c r="K53" s="26">
        <f t="shared" ref="K53" si="17">I53-J53</f>
        <v>1499999</v>
      </c>
      <c r="L53" s="28">
        <v>1499999</v>
      </c>
      <c r="M53" s="28">
        <f t="shared" si="16"/>
        <v>0</v>
      </c>
      <c r="N53" s="36" t="s">
        <v>86</v>
      </c>
      <c r="O53" s="29" t="s">
        <v>87</v>
      </c>
      <c r="P53" s="29" t="s">
        <v>70</v>
      </c>
      <c r="Q53" s="29"/>
      <c r="R53" t="s">
        <v>106</v>
      </c>
      <c r="S53" s="7" t="s">
        <v>107</v>
      </c>
      <c r="T53" s="7" t="s">
        <v>72</v>
      </c>
      <c r="U53" s="7"/>
      <c r="V53" s="7"/>
    </row>
    <row r="54" spans="1:27" x14ac:dyDescent="0.3">
      <c r="A54" s="29" t="s">
        <v>64</v>
      </c>
      <c r="B54" s="29" t="s">
        <v>148</v>
      </c>
      <c r="C54" s="29" t="s">
        <v>149</v>
      </c>
      <c r="D54" s="29" t="s">
        <v>94</v>
      </c>
      <c r="E54" s="29"/>
      <c r="F54" s="48">
        <v>45513</v>
      </c>
      <c r="G54" s="48">
        <v>45626</v>
      </c>
      <c r="H54" s="29">
        <v>2024</v>
      </c>
      <c r="I54" s="30">
        <v>4000000</v>
      </c>
      <c r="J54" s="26">
        <v>0</v>
      </c>
      <c r="K54" s="26">
        <f t="shared" si="1"/>
        <v>4000000</v>
      </c>
      <c r="L54" s="28">
        <v>4000000</v>
      </c>
      <c r="M54" s="28">
        <f t="shared" si="14"/>
        <v>0</v>
      </c>
      <c r="N54" s="36" t="s">
        <v>86</v>
      </c>
      <c r="O54" s="29" t="s">
        <v>87</v>
      </c>
      <c r="P54" s="29" t="s">
        <v>73</v>
      </c>
      <c r="Q54" s="29"/>
      <c r="S54" s="7" t="s">
        <v>147</v>
      </c>
      <c r="T54" s="7" t="s">
        <v>72</v>
      </c>
      <c r="U54" s="7" t="s">
        <v>72</v>
      </c>
      <c r="V54" s="7"/>
      <c r="AA54" t="str">
        <f>VLOOKUP(C54,[1]Sheet1!$C:$U,18,0)</f>
        <v/>
      </c>
    </row>
    <row r="55" spans="1:27" x14ac:dyDescent="0.3">
      <c r="A55" s="29" t="s">
        <v>64</v>
      </c>
      <c r="B55" s="29" t="s">
        <v>148</v>
      </c>
      <c r="C55" s="29" t="s">
        <v>151</v>
      </c>
      <c r="D55" s="29" t="s">
        <v>94</v>
      </c>
      <c r="E55" s="29"/>
      <c r="F55" s="48">
        <v>45513</v>
      </c>
      <c r="G55" s="48">
        <v>45626</v>
      </c>
      <c r="H55" s="29">
        <v>2024</v>
      </c>
      <c r="I55" s="30">
        <v>3000000</v>
      </c>
      <c r="J55" s="26">
        <v>0</v>
      </c>
      <c r="K55" s="26">
        <f t="shared" ref="K55" si="18">I55-J55</f>
        <v>3000000</v>
      </c>
      <c r="L55" s="28">
        <v>3000000</v>
      </c>
      <c r="M55" s="28">
        <f t="shared" si="14"/>
        <v>0</v>
      </c>
      <c r="N55" s="36" t="s">
        <v>86</v>
      </c>
      <c r="O55" s="29" t="s">
        <v>87</v>
      </c>
      <c r="P55" s="29" t="s">
        <v>73</v>
      </c>
      <c r="Q55" s="29"/>
      <c r="R55" t="s">
        <v>106</v>
      </c>
      <c r="S55" s="7" t="s">
        <v>107</v>
      </c>
      <c r="T55" s="7" t="s">
        <v>72</v>
      </c>
      <c r="U55" s="7"/>
      <c r="V55" s="7"/>
    </row>
    <row r="56" spans="1:27" x14ac:dyDescent="0.3">
      <c r="A56" s="29" t="s">
        <v>64</v>
      </c>
      <c r="B56" s="29" t="s">
        <v>152</v>
      </c>
      <c r="C56" s="29" t="s">
        <v>153</v>
      </c>
      <c r="D56" s="29" t="s">
        <v>94</v>
      </c>
      <c r="E56" s="29"/>
      <c r="F56" s="48">
        <v>45513</v>
      </c>
      <c r="G56" s="48">
        <v>45626</v>
      </c>
      <c r="H56" s="29">
        <v>2024</v>
      </c>
      <c r="I56" s="30">
        <v>3000000</v>
      </c>
      <c r="J56" s="26">
        <v>0</v>
      </c>
      <c r="K56" s="26">
        <f t="shared" si="1"/>
        <v>3000000</v>
      </c>
      <c r="L56" s="28">
        <v>3000000</v>
      </c>
      <c r="M56" s="28">
        <f t="shared" ref="M56:M101" si="19">K56-L56</f>
        <v>0</v>
      </c>
      <c r="N56" s="36" t="s">
        <v>68</v>
      </c>
      <c r="O56" s="29" t="s">
        <v>69</v>
      </c>
      <c r="P56" s="29" t="s">
        <v>70</v>
      </c>
      <c r="Q56" s="29"/>
      <c r="S56" s="7" t="s">
        <v>147</v>
      </c>
      <c r="T56" s="7" t="s">
        <v>72</v>
      </c>
      <c r="U56" s="7" t="s">
        <v>72</v>
      </c>
      <c r="V56" s="7"/>
      <c r="AA56" t="str">
        <f>VLOOKUP(C56,[1]Sheet1!$C:$U,18,0)</f>
        <v/>
      </c>
    </row>
    <row r="57" spans="1:27" x14ac:dyDescent="0.3">
      <c r="A57" s="29" t="s">
        <v>64</v>
      </c>
      <c r="B57" s="29" t="s">
        <v>152</v>
      </c>
      <c r="C57" s="29" t="s">
        <v>154</v>
      </c>
      <c r="D57" s="29" t="s">
        <v>94</v>
      </c>
      <c r="E57" s="29"/>
      <c r="F57" s="48">
        <v>45513</v>
      </c>
      <c r="G57" s="48">
        <v>45626</v>
      </c>
      <c r="H57" s="29">
        <v>2024</v>
      </c>
      <c r="I57" s="30">
        <v>2000000</v>
      </c>
      <c r="J57" s="26">
        <v>0</v>
      </c>
      <c r="K57" s="26">
        <f t="shared" si="1"/>
        <v>2000000</v>
      </c>
      <c r="L57" s="28">
        <v>2000000</v>
      </c>
      <c r="M57" s="28">
        <f t="shared" si="19"/>
        <v>0</v>
      </c>
      <c r="N57" s="36" t="s">
        <v>68</v>
      </c>
      <c r="O57" s="29" t="s">
        <v>69</v>
      </c>
      <c r="P57" s="29" t="s">
        <v>70</v>
      </c>
      <c r="Q57" s="29"/>
      <c r="R57" t="s">
        <v>106</v>
      </c>
      <c r="S57" s="7" t="s">
        <v>107</v>
      </c>
      <c r="T57" s="7" t="s">
        <v>72</v>
      </c>
      <c r="U57" s="7"/>
      <c r="V57" s="7"/>
    </row>
    <row r="58" spans="1:27" x14ac:dyDescent="0.3">
      <c r="A58" s="29" t="s">
        <v>64</v>
      </c>
      <c r="B58" s="29" t="s">
        <v>152</v>
      </c>
      <c r="C58" s="29" t="s">
        <v>153</v>
      </c>
      <c r="D58" s="29" t="s">
        <v>94</v>
      </c>
      <c r="E58" s="29"/>
      <c r="F58" s="48">
        <v>45513</v>
      </c>
      <c r="G58" s="48">
        <v>45626</v>
      </c>
      <c r="H58" s="29">
        <v>2024</v>
      </c>
      <c r="I58" s="30">
        <v>7000000</v>
      </c>
      <c r="J58" s="26">
        <v>0</v>
      </c>
      <c r="K58" s="26">
        <f t="shared" si="1"/>
        <v>7000000</v>
      </c>
      <c r="L58" s="28">
        <v>7000000</v>
      </c>
      <c r="M58" s="28">
        <f t="shared" si="19"/>
        <v>0</v>
      </c>
      <c r="N58" s="36" t="s">
        <v>68</v>
      </c>
      <c r="O58" s="29" t="s">
        <v>69</v>
      </c>
      <c r="P58" s="29" t="s">
        <v>73</v>
      </c>
      <c r="Q58" s="29"/>
      <c r="S58" s="7" t="s">
        <v>147</v>
      </c>
      <c r="T58" s="7" t="s">
        <v>72</v>
      </c>
      <c r="U58" s="7" t="s">
        <v>72</v>
      </c>
      <c r="V58" s="7"/>
      <c r="AA58" t="str">
        <f>VLOOKUP(C58,[1]Sheet1!$C:$U,18,0)</f>
        <v/>
      </c>
    </row>
    <row r="59" spans="1:27" x14ac:dyDescent="0.3">
      <c r="A59" s="29" t="s">
        <v>64</v>
      </c>
      <c r="B59" s="29" t="s">
        <v>152</v>
      </c>
      <c r="C59" s="29" t="s">
        <v>154</v>
      </c>
      <c r="D59" s="29" t="s">
        <v>94</v>
      </c>
      <c r="E59" s="29"/>
      <c r="F59" s="48">
        <v>45513</v>
      </c>
      <c r="G59" s="48">
        <v>45626</v>
      </c>
      <c r="H59" s="29">
        <v>2024</v>
      </c>
      <c r="I59" s="30">
        <v>2000000</v>
      </c>
      <c r="J59" s="26">
        <v>0</v>
      </c>
      <c r="K59" s="26">
        <f t="shared" si="1"/>
        <v>2000000</v>
      </c>
      <c r="L59" s="28">
        <v>2000000</v>
      </c>
      <c r="M59" s="28">
        <f t="shared" si="19"/>
        <v>0</v>
      </c>
      <c r="N59" s="36" t="s">
        <v>68</v>
      </c>
      <c r="O59" s="29" t="s">
        <v>69</v>
      </c>
      <c r="P59" s="29" t="s">
        <v>73</v>
      </c>
      <c r="Q59" s="29"/>
      <c r="R59" t="s">
        <v>106</v>
      </c>
      <c r="S59" s="7" t="s">
        <v>107</v>
      </c>
      <c r="T59" s="7" t="s">
        <v>72</v>
      </c>
      <c r="U59" s="7"/>
      <c r="V59" s="7"/>
    </row>
    <row r="60" spans="1:27" x14ac:dyDescent="0.3">
      <c r="A60" s="29" t="s">
        <v>64</v>
      </c>
      <c r="B60" s="29" t="s">
        <v>155</v>
      </c>
      <c r="C60" s="29" t="s">
        <v>156</v>
      </c>
      <c r="D60" s="29" t="s">
        <v>94</v>
      </c>
      <c r="E60" s="29"/>
      <c r="F60" s="48">
        <v>45516</v>
      </c>
      <c r="G60" s="48">
        <v>45657</v>
      </c>
      <c r="H60" s="29">
        <v>2024</v>
      </c>
      <c r="I60" s="30">
        <v>1500000</v>
      </c>
      <c r="J60" s="26">
        <v>0</v>
      </c>
      <c r="K60" s="26">
        <f t="shared" si="1"/>
        <v>1500000</v>
      </c>
      <c r="L60" s="28">
        <v>1500000</v>
      </c>
      <c r="M60" s="28">
        <f t="shared" si="19"/>
        <v>0</v>
      </c>
      <c r="N60" s="36" t="s">
        <v>95</v>
      </c>
      <c r="O60" s="29" t="s">
        <v>96</v>
      </c>
      <c r="P60" s="29" t="s">
        <v>73</v>
      </c>
      <c r="Q60" s="29"/>
      <c r="S60" s="7" t="s">
        <v>147</v>
      </c>
      <c r="T60" s="7" t="s">
        <v>72</v>
      </c>
      <c r="U60" s="7" t="s">
        <v>72</v>
      </c>
      <c r="V60" s="7"/>
      <c r="AA60" t="str">
        <f>VLOOKUP(C60,[1]Sheet1!$C:$U,18,0)</f>
        <v/>
      </c>
    </row>
    <row r="61" spans="1:27" x14ac:dyDescent="0.3">
      <c r="A61" s="29" t="s">
        <v>64</v>
      </c>
      <c r="B61" s="29" t="s">
        <v>155</v>
      </c>
      <c r="C61" s="29" t="s">
        <v>157</v>
      </c>
      <c r="D61" s="29" t="s">
        <v>94</v>
      </c>
      <c r="E61" s="29"/>
      <c r="F61" s="48">
        <v>45516</v>
      </c>
      <c r="G61" s="48">
        <v>45657</v>
      </c>
      <c r="H61" s="29">
        <v>2024</v>
      </c>
      <c r="I61" s="30">
        <v>1000000</v>
      </c>
      <c r="J61" s="26">
        <v>0</v>
      </c>
      <c r="K61" s="26">
        <f t="shared" si="1"/>
        <v>1000000</v>
      </c>
      <c r="L61" s="28">
        <v>1000000</v>
      </c>
      <c r="M61" s="28">
        <f t="shared" si="19"/>
        <v>0</v>
      </c>
      <c r="N61" s="36" t="s">
        <v>95</v>
      </c>
      <c r="O61" s="29" t="s">
        <v>96</v>
      </c>
      <c r="P61" s="29" t="s">
        <v>73</v>
      </c>
      <c r="Q61" s="29"/>
      <c r="R61" t="s">
        <v>106</v>
      </c>
      <c r="S61" s="7" t="s">
        <v>122</v>
      </c>
      <c r="T61" s="7" t="s">
        <v>72</v>
      </c>
      <c r="U61" s="7"/>
      <c r="V61" s="7"/>
    </row>
    <row r="62" spans="1:27" x14ac:dyDescent="0.3">
      <c r="A62" s="29" t="s">
        <v>64</v>
      </c>
      <c r="B62" s="29" t="s">
        <v>155</v>
      </c>
      <c r="C62" s="29" t="s">
        <v>158</v>
      </c>
      <c r="D62" s="29" t="s">
        <v>94</v>
      </c>
      <c r="E62" s="29"/>
      <c r="F62" s="48">
        <v>45516</v>
      </c>
      <c r="G62" s="48">
        <v>45657</v>
      </c>
      <c r="H62" s="29">
        <v>2024</v>
      </c>
      <c r="I62" s="30">
        <v>1000000</v>
      </c>
      <c r="J62" s="26">
        <v>0</v>
      </c>
      <c r="K62" s="26">
        <f t="shared" si="1"/>
        <v>1000000</v>
      </c>
      <c r="L62" s="28">
        <v>1000000</v>
      </c>
      <c r="M62" s="28">
        <f t="shared" si="19"/>
        <v>0</v>
      </c>
      <c r="N62" s="36" t="s">
        <v>95</v>
      </c>
      <c r="O62" s="29" t="s">
        <v>96</v>
      </c>
      <c r="P62" s="29" t="s">
        <v>73</v>
      </c>
      <c r="Q62" s="29"/>
      <c r="R62" t="s">
        <v>106</v>
      </c>
      <c r="S62" s="7" t="s">
        <v>159</v>
      </c>
      <c r="T62" s="7" t="s">
        <v>72</v>
      </c>
      <c r="U62" s="7"/>
      <c r="V62" s="7"/>
    </row>
    <row r="63" spans="1:27" x14ac:dyDescent="0.3">
      <c r="A63" s="29" t="s">
        <v>64</v>
      </c>
      <c r="B63" s="29" t="s">
        <v>155</v>
      </c>
      <c r="C63" s="29" t="s">
        <v>160</v>
      </c>
      <c r="D63" s="29" t="s">
        <v>94</v>
      </c>
      <c r="E63" s="29"/>
      <c r="F63" s="48">
        <v>45516</v>
      </c>
      <c r="G63" s="48">
        <v>45657</v>
      </c>
      <c r="H63" s="29">
        <v>2024</v>
      </c>
      <c r="I63" s="30">
        <v>500000</v>
      </c>
      <c r="J63" s="26">
        <v>0</v>
      </c>
      <c r="K63" s="26">
        <f t="shared" ref="K63" si="20">I63-J63</f>
        <v>500000</v>
      </c>
      <c r="L63" s="28">
        <v>500000</v>
      </c>
      <c r="M63" s="28">
        <f t="shared" si="19"/>
        <v>0</v>
      </c>
      <c r="N63" s="36" t="s">
        <v>95</v>
      </c>
      <c r="O63" s="29" t="s">
        <v>96</v>
      </c>
      <c r="P63" s="29" t="s">
        <v>73</v>
      </c>
      <c r="Q63" s="29"/>
      <c r="R63" t="s">
        <v>106</v>
      </c>
      <c r="S63" s="7" t="s">
        <v>107</v>
      </c>
      <c r="T63" s="7" t="s">
        <v>72</v>
      </c>
      <c r="U63" s="7"/>
      <c r="V63" s="7"/>
    </row>
    <row r="64" spans="1:27" x14ac:dyDescent="0.3">
      <c r="A64" s="29" t="s">
        <v>64</v>
      </c>
      <c r="B64" s="29" t="s">
        <v>155</v>
      </c>
      <c r="C64" s="29" t="s">
        <v>156</v>
      </c>
      <c r="D64" s="29" t="s">
        <v>94</v>
      </c>
      <c r="E64" s="29"/>
      <c r="F64" s="48">
        <v>45516</v>
      </c>
      <c r="G64" s="48">
        <v>45657</v>
      </c>
      <c r="H64" s="29">
        <v>2024</v>
      </c>
      <c r="I64" s="30">
        <v>220000</v>
      </c>
      <c r="J64" s="26">
        <v>0</v>
      </c>
      <c r="K64" s="26">
        <f t="shared" si="1"/>
        <v>220000</v>
      </c>
      <c r="L64" s="28">
        <v>220000</v>
      </c>
      <c r="M64" s="28">
        <f t="shared" si="19"/>
        <v>0</v>
      </c>
      <c r="N64" s="36" t="s">
        <v>95</v>
      </c>
      <c r="O64" s="29" t="s">
        <v>96</v>
      </c>
      <c r="P64" s="29" t="s">
        <v>70</v>
      </c>
      <c r="Q64" s="29"/>
      <c r="S64" s="7" t="s">
        <v>147</v>
      </c>
      <c r="T64" s="7" t="s">
        <v>72</v>
      </c>
      <c r="U64" s="7" t="s">
        <v>72</v>
      </c>
      <c r="V64" s="7"/>
      <c r="AA64" t="str">
        <f>VLOOKUP(C64,[1]Sheet1!$C:$U,18,0)</f>
        <v/>
      </c>
    </row>
    <row r="65" spans="1:27" x14ac:dyDescent="0.3">
      <c r="A65" s="29" t="s">
        <v>64</v>
      </c>
      <c r="B65" s="29" t="s">
        <v>155</v>
      </c>
      <c r="C65" s="29" t="s">
        <v>160</v>
      </c>
      <c r="D65" s="29" t="s">
        <v>94</v>
      </c>
      <c r="E65" s="29"/>
      <c r="F65" s="48">
        <v>45516</v>
      </c>
      <c r="G65" s="48">
        <v>45657</v>
      </c>
      <c r="H65" s="29">
        <v>2024</v>
      </c>
      <c r="I65" s="30">
        <v>1780000</v>
      </c>
      <c r="J65" s="26">
        <v>0</v>
      </c>
      <c r="K65" s="26">
        <f t="shared" ref="K65" si="21">I65-J65</f>
        <v>1780000</v>
      </c>
      <c r="L65" s="28">
        <v>1780000</v>
      </c>
      <c r="M65" s="28">
        <f t="shared" si="19"/>
        <v>0</v>
      </c>
      <c r="N65" s="36" t="s">
        <v>95</v>
      </c>
      <c r="O65" s="29" t="s">
        <v>96</v>
      </c>
      <c r="P65" s="29" t="s">
        <v>70</v>
      </c>
      <c r="Q65" s="29"/>
      <c r="R65" t="s">
        <v>106</v>
      </c>
      <c r="S65" s="7" t="s">
        <v>107</v>
      </c>
      <c r="T65" s="7" t="s">
        <v>72</v>
      </c>
      <c r="U65" s="7"/>
      <c r="V65" s="7"/>
    </row>
    <row r="66" spans="1:27" x14ac:dyDescent="0.3">
      <c r="A66" s="29" t="s">
        <v>64</v>
      </c>
      <c r="B66" s="29" t="s">
        <v>161</v>
      </c>
      <c r="C66" s="29" t="s">
        <v>162</v>
      </c>
      <c r="D66" s="29" t="s">
        <v>94</v>
      </c>
      <c r="E66" s="29"/>
      <c r="F66" s="48">
        <v>45566</v>
      </c>
      <c r="G66" s="48">
        <v>45657</v>
      </c>
      <c r="H66" s="29">
        <v>2024</v>
      </c>
      <c r="I66" s="30">
        <v>2000000</v>
      </c>
      <c r="J66" s="26">
        <v>0</v>
      </c>
      <c r="K66" s="26">
        <f t="shared" si="1"/>
        <v>2000000</v>
      </c>
      <c r="L66" s="28">
        <v>2000000</v>
      </c>
      <c r="M66" s="28">
        <f t="shared" si="19"/>
        <v>0</v>
      </c>
      <c r="N66" s="36" t="s">
        <v>95</v>
      </c>
      <c r="O66" s="29" t="s">
        <v>96</v>
      </c>
      <c r="P66" s="29" t="s">
        <v>77</v>
      </c>
      <c r="Q66" s="29"/>
      <c r="R66" t="s">
        <v>106</v>
      </c>
      <c r="S66" s="7" t="s">
        <v>107</v>
      </c>
      <c r="T66" s="7" t="s">
        <v>72</v>
      </c>
      <c r="U66" s="7"/>
      <c r="V66" s="7"/>
      <c r="AA66" t="str">
        <f>VLOOKUP(C66,[1]Sheet1!$C:$U,18,0)</f>
        <v/>
      </c>
    </row>
    <row r="67" spans="1:27" x14ac:dyDescent="0.3">
      <c r="A67" s="29" t="s">
        <v>64</v>
      </c>
      <c r="B67" s="29" t="s">
        <v>163</v>
      </c>
      <c r="C67" s="29" t="s">
        <v>164</v>
      </c>
      <c r="D67" s="29" t="s">
        <v>94</v>
      </c>
      <c r="E67" s="29"/>
      <c r="F67" s="48">
        <v>45566</v>
      </c>
      <c r="G67" s="48">
        <v>45657</v>
      </c>
      <c r="H67" s="29">
        <v>2024</v>
      </c>
      <c r="I67" s="30">
        <v>543450</v>
      </c>
      <c r="J67" s="26">
        <v>0</v>
      </c>
      <c r="K67" s="26">
        <f t="shared" si="1"/>
        <v>543450</v>
      </c>
      <c r="L67" s="28">
        <v>543450</v>
      </c>
      <c r="M67" s="28">
        <f t="shared" si="19"/>
        <v>0</v>
      </c>
      <c r="N67" s="36" t="s">
        <v>86</v>
      </c>
      <c r="O67" s="29" t="s">
        <v>87</v>
      </c>
      <c r="P67" s="29" t="s">
        <v>73</v>
      </c>
      <c r="Q67" s="29"/>
      <c r="R67" t="s">
        <v>106</v>
      </c>
      <c r="S67" s="7" t="s">
        <v>107</v>
      </c>
      <c r="T67" s="7" t="s">
        <v>72</v>
      </c>
      <c r="U67" s="7"/>
      <c r="V67" s="7"/>
      <c r="AA67" t="str">
        <f>VLOOKUP(C67,[1]Sheet1!$C:$U,18,0)</f>
        <v/>
      </c>
    </row>
    <row r="68" spans="1:27" x14ac:dyDescent="0.3">
      <c r="A68" s="29" t="s">
        <v>64</v>
      </c>
      <c r="B68" s="29" t="s">
        <v>163</v>
      </c>
      <c r="C68" s="29" t="s">
        <v>165</v>
      </c>
      <c r="D68" s="29" t="s">
        <v>94</v>
      </c>
      <c r="E68" s="29"/>
      <c r="F68" s="48">
        <v>45566</v>
      </c>
      <c r="G68" s="48">
        <v>45657</v>
      </c>
      <c r="H68" s="29">
        <v>2024</v>
      </c>
      <c r="I68" s="30">
        <v>8956550</v>
      </c>
      <c r="J68" s="26">
        <v>0</v>
      </c>
      <c r="K68" s="26">
        <f t="shared" ref="K68" si="22">I68-J68</f>
        <v>8956550</v>
      </c>
      <c r="L68" s="28">
        <v>8956550</v>
      </c>
      <c r="M68" s="28">
        <f t="shared" si="19"/>
        <v>0</v>
      </c>
      <c r="N68" s="36" t="s">
        <v>86</v>
      </c>
      <c r="O68" s="29" t="s">
        <v>87</v>
      </c>
      <c r="P68" s="29" t="s">
        <v>73</v>
      </c>
      <c r="Q68" s="29"/>
      <c r="R68" t="s">
        <v>106</v>
      </c>
      <c r="S68" s="7" t="s">
        <v>166</v>
      </c>
      <c r="T68" s="7" t="s">
        <v>72</v>
      </c>
      <c r="U68" s="7"/>
      <c r="V68" s="7"/>
    </row>
    <row r="69" spans="1:27" x14ac:dyDescent="0.3">
      <c r="A69" s="29" t="s">
        <v>64</v>
      </c>
      <c r="B69" s="29" t="s">
        <v>163</v>
      </c>
      <c r="C69" s="29" t="s">
        <v>165</v>
      </c>
      <c r="D69" s="29" t="s">
        <v>94</v>
      </c>
      <c r="E69" s="29"/>
      <c r="F69" s="48">
        <v>45566</v>
      </c>
      <c r="G69" s="48">
        <v>45657</v>
      </c>
      <c r="H69" s="29">
        <v>2024</v>
      </c>
      <c r="I69" s="30">
        <v>9500000</v>
      </c>
      <c r="J69" s="26">
        <v>0</v>
      </c>
      <c r="K69" s="26">
        <f t="shared" si="1"/>
        <v>9500000</v>
      </c>
      <c r="L69" s="28">
        <v>9500000</v>
      </c>
      <c r="M69" s="28">
        <f t="shared" si="19"/>
        <v>0</v>
      </c>
      <c r="N69" s="36" t="s">
        <v>86</v>
      </c>
      <c r="O69" s="29" t="s">
        <v>87</v>
      </c>
      <c r="P69" s="29" t="s">
        <v>77</v>
      </c>
      <c r="Q69" s="29"/>
      <c r="R69" t="s">
        <v>106</v>
      </c>
      <c r="S69" s="7" t="s">
        <v>166</v>
      </c>
      <c r="T69" s="7" t="s">
        <v>72</v>
      </c>
      <c r="U69" s="7"/>
      <c r="V69" s="7"/>
      <c r="AA69" t="e">
        <f>VLOOKUP(C69,[1]Sheet1!$C:$U,18,0)</f>
        <v>#N/A</v>
      </c>
    </row>
    <row r="70" spans="1:27" x14ac:dyDescent="0.3">
      <c r="A70" s="29" t="s">
        <v>64</v>
      </c>
      <c r="B70" s="29" t="s">
        <v>167</v>
      </c>
      <c r="C70" s="29" t="s">
        <v>168</v>
      </c>
      <c r="D70" s="29" t="s">
        <v>94</v>
      </c>
      <c r="E70" s="29"/>
      <c r="F70" s="48">
        <v>45566</v>
      </c>
      <c r="G70" s="48">
        <v>45657</v>
      </c>
      <c r="H70" s="29">
        <v>2024</v>
      </c>
      <c r="I70" s="30">
        <v>8380001</v>
      </c>
      <c r="J70" s="26">
        <v>0</v>
      </c>
      <c r="K70" s="26">
        <f t="shared" si="1"/>
        <v>8380001</v>
      </c>
      <c r="L70" s="28">
        <v>8380001</v>
      </c>
      <c r="M70" s="28">
        <f t="shared" si="19"/>
        <v>0</v>
      </c>
      <c r="N70" s="36" t="s">
        <v>81</v>
      </c>
      <c r="O70" s="29" t="s">
        <v>82</v>
      </c>
      <c r="P70" s="29" t="s">
        <v>73</v>
      </c>
      <c r="Q70" s="29"/>
      <c r="R70" t="s">
        <v>106</v>
      </c>
      <c r="S70" s="7" t="s">
        <v>169</v>
      </c>
      <c r="T70" s="7" t="s">
        <v>72</v>
      </c>
      <c r="U70" s="7"/>
      <c r="V70" s="7"/>
      <c r="AA70" t="str">
        <f>VLOOKUP(C70,[1]Sheet1!$C:$U,18,0)</f>
        <v/>
      </c>
    </row>
    <row r="71" spans="1:27" x14ac:dyDescent="0.3">
      <c r="A71" s="29" t="s">
        <v>64</v>
      </c>
      <c r="B71" s="29" t="s">
        <v>167</v>
      </c>
      <c r="C71" s="29" t="s">
        <v>170</v>
      </c>
      <c r="D71" s="29" t="s">
        <v>94</v>
      </c>
      <c r="E71" s="29"/>
      <c r="F71" s="48">
        <v>45566</v>
      </c>
      <c r="G71" s="48">
        <v>45657</v>
      </c>
      <c r="H71" s="29">
        <v>2024</v>
      </c>
      <c r="I71" s="30">
        <v>6619999</v>
      </c>
      <c r="J71" s="26">
        <v>0</v>
      </c>
      <c r="K71" s="26">
        <f t="shared" ref="K71" si="23">I71-J71</f>
        <v>6619999</v>
      </c>
      <c r="L71" s="28">
        <v>6619999</v>
      </c>
      <c r="M71" s="28">
        <f t="shared" si="19"/>
        <v>0</v>
      </c>
      <c r="N71" s="36" t="s">
        <v>81</v>
      </c>
      <c r="O71" s="29" t="s">
        <v>82</v>
      </c>
      <c r="P71" s="29" t="s">
        <v>73</v>
      </c>
      <c r="Q71" s="29"/>
      <c r="R71" t="s">
        <v>106</v>
      </c>
      <c r="S71" s="7" t="s">
        <v>133</v>
      </c>
      <c r="T71" s="7" t="s">
        <v>72</v>
      </c>
      <c r="U71" s="7"/>
      <c r="V71" s="7"/>
    </row>
    <row r="72" spans="1:27" ht="13.95" customHeight="1" x14ac:dyDescent="0.3">
      <c r="A72" s="29" t="s">
        <v>64</v>
      </c>
      <c r="B72" s="29" t="s">
        <v>167</v>
      </c>
      <c r="C72" s="29" t="s">
        <v>171</v>
      </c>
      <c r="D72" s="29" t="s">
        <v>94</v>
      </c>
      <c r="E72" s="29"/>
      <c r="F72" s="48">
        <v>45566</v>
      </c>
      <c r="G72" s="48">
        <v>45657</v>
      </c>
      <c r="H72" s="29">
        <v>2024</v>
      </c>
      <c r="I72" s="30">
        <v>1620000</v>
      </c>
      <c r="J72" s="26">
        <v>0</v>
      </c>
      <c r="K72" s="26">
        <f t="shared" si="1"/>
        <v>1620000</v>
      </c>
      <c r="L72" s="28">
        <v>1620000</v>
      </c>
      <c r="M72" s="28">
        <f t="shared" si="19"/>
        <v>0</v>
      </c>
      <c r="N72" s="36" t="s">
        <v>81</v>
      </c>
      <c r="O72" s="29" t="s">
        <v>82</v>
      </c>
      <c r="P72" s="29" t="s">
        <v>77</v>
      </c>
      <c r="Q72" s="29"/>
      <c r="R72" t="s">
        <v>106</v>
      </c>
      <c r="S72" s="7" t="s">
        <v>172</v>
      </c>
      <c r="T72" s="7" t="s">
        <v>72</v>
      </c>
      <c r="U72" s="7"/>
      <c r="V72" s="7"/>
      <c r="AA72" t="e">
        <f>VLOOKUP(C72,[1]Sheet1!$C:$U,18,0)</f>
        <v>#N/A</v>
      </c>
    </row>
    <row r="73" spans="1:27" ht="13.95" customHeight="1" x14ac:dyDescent="0.3">
      <c r="A73" s="29" t="s">
        <v>64</v>
      </c>
      <c r="B73" s="29" t="s">
        <v>167</v>
      </c>
      <c r="C73" s="29" t="s">
        <v>170</v>
      </c>
      <c r="D73" s="29" t="s">
        <v>94</v>
      </c>
      <c r="E73" s="29"/>
      <c r="F73" s="48">
        <v>45566</v>
      </c>
      <c r="G73" s="48">
        <v>45657</v>
      </c>
      <c r="H73" s="29">
        <v>2024</v>
      </c>
      <c r="I73" s="30">
        <v>13380000</v>
      </c>
      <c r="J73" s="26">
        <v>0</v>
      </c>
      <c r="K73" s="26">
        <f t="shared" ref="K73" si="24">I73-J73</f>
        <v>13380000</v>
      </c>
      <c r="L73" s="28">
        <v>13380000</v>
      </c>
      <c r="M73" s="28">
        <f t="shared" si="19"/>
        <v>0</v>
      </c>
      <c r="N73" s="36" t="s">
        <v>81</v>
      </c>
      <c r="O73" s="29" t="s">
        <v>82</v>
      </c>
      <c r="P73" s="29" t="s">
        <v>77</v>
      </c>
      <c r="Q73" s="29"/>
      <c r="R73" t="s">
        <v>106</v>
      </c>
      <c r="S73" s="7" t="s">
        <v>133</v>
      </c>
      <c r="T73" s="7" t="s">
        <v>72</v>
      </c>
      <c r="U73" s="7"/>
      <c r="V73" s="7"/>
    </row>
    <row r="74" spans="1:27" x14ac:dyDescent="0.3">
      <c r="A74" s="29" t="s">
        <v>64</v>
      </c>
      <c r="B74" s="29" t="s">
        <v>173</v>
      </c>
      <c r="C74" s="29" t="s">
        <v>174</v>
      </c>
      <c r="D74" s="29" t="s">
        <v>94</v>
      </c>
      <c r="E74" s="29"/>
      <c r="F74" s="48">
        <v>45566</v>
      </c>
      <c r="G74" s="48">
        <v>45657</v>
      </c>
      <c r="H74" s="29">
        <v>2024</v>
      </c>
      <c r="I74" s="30">
        <v>563450</v>
      </c>
      <c r="J74" s="26">
        <v>0</v>
      </c>
      <c r="K74" s="26">
        <f t="shared" si="1"/>
        <v>563450</v>
      </c>
      <c r="L74" s="28">
        <v>563450</v>
      </c>
      <c r="M74" s="28">
        <f t="shared" si="19"/>
        <v>0</v>
      </c>
      <c r="N74" s="36" t="s">
        <v>68</v>
      </c>
      <c r="O74" s="29" t="s">
        <v>69</v>
      </c>
      <c r="P74" s="29" t="s">
        <v>73</v>
      </c>
      <c r="Q74" s="29"/>
      <c r="R74" t="s">
        <v>106</v>
      </c>
      <c r="S74" s="7" t="s">
        <v>166</v>
      </c>
      <c r="T74" s="7" t="s">
        <v>72</v>
      </c>
      <c r="U74" s="7"/>
      <c r="V74" s="7"/>
      <c r="AA74" t="str">
        <f>VLOOKUP(C74,[1]Sheet1!$C:$U,18,0)</f>
        <v/>
      </c>
    </row>
    <row r="75" spans="1:27" x14ac:dyDescent="0.3">
      <c r="A75" s="29" t="s">
        <v>64</v>
      </c>
      <c r="B75" s="29" t="s">
        <v>173</v>
      </c>
      <c r="C75" s="29" t="s">
        <v>175</v>
      </c>
      <c r="D75" s="29" t="s">
        <v>94</v>
      </c>
      <c r="E75" s="29"/>
      <c r="F75" s="48">
        <v>45566</v>
      </c>
      <c r="G75" s="48">
        <v>45657</v>
      </c>
      <c r="H75" s="29">
        <v>2024</v>
      </c>
      <c r="I75" s="30">
        <v>16500000</v>
      </c>
      <c r="J75" s="26">
        <v>0</v>
      </c>
      <c r="K75" s="26">
        <f t="shared" ref="K75" si="25">I75-J75</f>
        <v>16500000</v>
      </c>
      <c r="L75" s="28">
        <v>16500000</v>
      </c>
      <c r="M75" s="28">
        <f t="shared" si="19"/>
        <v>0</v>
      </c>
      <c r="N75" s="36" t="s">
        <v>68</v>
      </c>
      <c r="O75" s="29" t="s">
        <v>69</v>
      </c>
      <c r="P75" s="29" t="s">
        <v>73</v>
      </c>
      <c r="Q75" s="29"/>
      <c r="R75" t="s">
        <v>106</v>
      </c>
      <c r="S75" s="7" t="s">
        <v>176</v>
      </c>
      <c r="T75" s="7" t="s">
        <v>72</v>
      </c>
      <c r="U75" s="7"/>
      <c r="V75" s="7"/>
    </row>
    <row r="76" spans="1:27" x14ac:dyDescent="0.3">
      <c r="A76" s="29" t="s">
        <v>64</v>
      </c>
      <c r="B76" s="29" t="s">
        <v>173</v>
      </c>
      <c r="C76" s="29" t="s">
        <v>174</v>
      </c>
      <c r="D76" s="29" t="s">
        <v>94</v>
      </c>
      <c r="E76" s="29"/>
      <c r="F76" s="48">
        <v>45566</v>
      </c>
      <c r="G76" s="48">
        <v>45657</v>
      </c>
      <c r="H76" s="29">
        <v>2024</v>
      </c>
      <c r="I76" s="30">
        <v>936550</v>
      </c>
      <c r="J76" s="26">
        <v>0</v>
      </c>
      <c r="K76" s="26">
        <f t="shared" ref="K76" si="26">I76-J76</f>
        <v>936550</v>
      </c>
      <c r="L76" s="28">
        <v>936550</v>
      </c>
      <c r="M76" s="28">
        <f t="shared" si="19"/>
        <v>0</v>
      </c>
      <c r="N76" s="36" t="s">
        <v>68</v>
      </c>
      <c r="O76" s="29" t="s">
        <v>69</v>
      </c>
      <c r="P76" s="29" t="s">
        <v>73</v>
      </c>
      <c r="Q76" s="29"/>
      <c r="R76" t="s">
        <v>106</v>
      </c>
      <c r="S76" s="7" t="s">
        <v>177</v>
      </c>
      <c r="T76" s="7" t="s">
        <v>72</v>
      </c>
      <c r="U76" s="7"/>
      <c r="V76" s="7"/>
    </row>
    <row r="77" spans="1:27" x14ac:dyDescent="0.3">
      <c r="A77" s="29" t="s">
        <v>64</v>
      </c>
      <c r="B77" s="29" t="s">
        <v>173</v>
      </c>
      <c r="C77" s="29" t="s">
        <v>174</v>
      </c>
      <c r="D77" s="29" t="s">
        <v>94</v>
      </c>
      <c r="E77" s="29"/>
      <c r="F77" s="48">
        <v>45566</v>
      </c>
      <c r="G77" s="48">
        <v>45657</v>
      </c>
      <c r="H77" s="29">
        <v>2024</v>
      </c>
      <c r="I77" s="30">
        <v>12063450</v>
      </c>
      <c r="J77" s="26">
        <v>0</v>
      </c>
      <c r="K77" s="26">
        <f t="shared" si="1"/>
        <v>12063450</v>
      </c>
      <c r="L77" s="28">
        <v>12063450</v>
      </c>
      <c r="M77" s="28">
        <f t="shared" si="19"/>
        <v>0</v>
      </c>
      <c r="N77" s="36" t="s">
        <v>68</v>
      </c>
      <c r="O77" s="29" t="s">
        <v>69</v>
      </c>
      <c r="P77" s="29" t="s">
        <v>77</v>
      </c>
      <c r="Q77" s="29"/>
      <c r="R77" t="s">
        <v>106</v>
      </c>
      <c r="S77" s="7" t="s">
        <v>177</v>
      </c>
      <c r="T77" s="7" t="s">
        <v>72</v>
      </c>
      <c r="U77" s="7"/>
      <c r="V77" s="7"/>
      <c r="AA77" t="str">
        <f>VLOOKUP(C77,[1]Sheet1!$C:$U,18,0)</f>
        <v/>
      </c>
    </row>
    <row r="78" spans="1:27" x14ac:dyDescent="0.3">
      <c r="A78" s="29" t="s">
        <v>64</v>
      </c>
      <c r="B78" s="29" t="s">
        <v>173</v>
      </c>
      <c r="C78" s="29" t="s">
        <v>175</v>
      </c>
      <c r="D78" s="29" t="s">
        <v>94</v>
      </c>
      <c r="E78" s="29"/>
      <c r="F78" s="48">
        <v>45566</v>
      </c>
      <c r="G78" s="48">
        <v>45657</v>
      </c>
      <c r="H78" s="29">
        <v>2024</v>
      </c>
      <c r="I78" s="30">
        <v>5936550</v>
      </c>
      <c r="J78" s="26">
        <v>0</v>
      </c>
      <c r="K78" s="26">
        <f t="shared" ref="K78" si="27">I78-J78</f>
        <v>5936550</v>
      </c>
      <c r="L78" s="28">
        <v>0</v>
      </c>
      <c r="M78" s="28">
        <f t="shared" si="19"/>
        <v>5936550</v>
      </c>
      <c r="N78" s="36" t="s">
        <v>68</v>
      </c>
      <c r="O78" s="29" t="s">
        <v>69</v>
      </c>
      <c r="P78" s="29" t="s">
        <v>77</v>
      </c>
      <c r="Q78" s="29"/>
      <c r="S78" s="7"/>
      <c r="T78" s="7"/>
      <c r="U78" s="7"/>
      <c r="V78" s="7"/>
    </row>
    <row r="79" spans="1:27" x14ac:dyDescent="0.3">
      <c r="A79" s="29" t="s">
        <v>64</v>
      </c>
      <c r="B79" s="29" t="s">
        <v>178</v>
      </c>
      <c r="C79" s="29" t="s">
        <v>179</v>
      </c>
      <c r="D79" s="29" t="s">
        <v>94</v>
      </c>
      <c r="E79" s="29"/>
      <c r="F79" s="48">
        <v>45577</v>
      </c>
      <c r="G79" s="48">
        <v>45657</v>
      </c>
      <c r="H79" s="29">
        <v>2024</v>
      </c>
      <c r="I79" s="30">
        <v>2000000</v>
      </c>
      <c r="J79" s="26">
        <v>0</v>
      </c>
      <c r="K79" s="26">
        <f t="shared" si="1"/>
        <v>2000000</v>
      </c>
      <c r="L79" s="28">
        <v>0</v>
      </c>
      <c r="M79" s="28">
        <f t="shared" si="19"/>
        <v>2000000</v>
      </c>
      <c r="N79" s="36" t="s">
        <v>68</v>
      </c>
      <c r="O79" s="29" t="s">
        <v>69</v>
      </c>
      <c r="P79" s="29" t="s">
        <v>70</v>
      </c>
      <c r="Q79" s="29"/>
      <c r="S79" s="7"/>
      <c r="T79" s="7"/>
      <c r="U79" s="7"/>
      <c r="V79" s="7"/>
      <c r="AA79" t="str">
        <f>VLOOKUP(C79,[1]Sheet1!$C:$U,18,0)</f>
        <v/>
      </c>
    </row>
    <row r="80" spans="1:27" x14ac:dyDescent="0.3">
      <c r="A80" s="29" t="s">
        <v>64</v>
      </c>
      <c r="B80" s="29" t="s">
        <v>180</v>
      </c>
      <c r="C80" s="29" t="s">
        <v>181</v>
      </c>
      <c r="D80" s="29" t="s">
        <v>94</v>
      </c>
      <c r="E80" s="29"/>
      <c r="F80" s="48">
        <v>45577</v>
      </c>
      <c r="G80" s="48">
        <v>45657</v>
      </c>
      <c r="H80" s="29">
        <v>2024</v>
      </c>
      <c r="I80" s="30">
        <v>4500000</v>
      </c>
      <c r="J80" s="26">
        <v>0</v>
      </c>
      <c r="K80" s="26">
        <f t="shared" si="1"/>
        <v>4500000</v>
      </c>
      <c r="L80" s="28">
        <v>0</v>
      </c>
      <c r="M80" s="28">
        <f t="shared" si="19"/>
        <v>4500000</v>
      </c>
      <c r="N80" s="36" t="s">
        <v>68</v>
      </c>
      <c r="O80" s="29" t="s">
        <v>69</v>
      </c>
      <c r="P80" s="29" t="s">
        <v>70</v>
      </c>
      <c r="Q80" s="29"/>
      <c r="S80" s="7"/>
      <c r="T80" s="7"/>
      <c r="U80" s="7"/>
      <c r="V80" s="7"/>
      <c r="AA80" t="str">
        <f>VLOOKUP(C80,[1]Sheet1!$C:$U,18,0)</f>
        <v/>
      </c>
    </row>
    <row r="81" spans="1:27" x14ac:dyDescent="0.3">
      <c r="A81" s="29" t="s">
        <v>64</v>
      </c>
      <c r="B81" s="29" t="s">
        <v>180</v>
      </c>
      <c r="C81" s="29" t="s">
        <v>181</v>
      </c>
      <c r="D81" s="29" t="s">
        <v>94</v>
      </c>
      <c r="E81" s="29"/>
      <c r="F81" s="48">
        <v>45577</v>
      </c>
      <c r="G81" s="48">
        <v>45657</v>
      </c>
      <c r="H81" s="29">
        <v>2024</v>
      </c>
      <c r="I81" s="30">
        <v>4500000</v>
      </c>
      <c r="J81" s="26">
        <v>0</v>
      </c>
      <c r="K81" s="26">
        <f t="shared" si="1"/>
        <v>4500000</v>
      </c>
      <c r="L81" s="28">
        <v>0</v>
      </c>
      <c r="M81" s="28">
        <f t="shared" si="19"/>
        <v>4500000</v>
      </c>
      <c r="N81" s="36" t="s">
        <v>68</v>
      </c>
      <c r="O81" s="29" t="s">
        <v>69</v>
      </c>
      <c r="P81" s="29" t="s">
        <v>73</v>
      </c>
      <c r="Q81" s="29"/>
      <c r="S81" s="7"/>
      <c r="T81" s="7"/>
      <c r="U81" s="7"/>
      <c r="V81" s="7"/>
      <c r="AA81" t="str">
        <f>VLOOKUP(C81,[1]Sheet1!$C:$U,18,0)</f>
        <v/>
      </c>
    </row>
    <row r="82" spans="1:27" x14ac:dyDescent="0.3">
      <c r="A82" s="29" t="s">
        <v>64</v>
      </c>
      <c r="B82" s="29" t="s">
        <v>180</v>
      </c>
      <c r="C82" s="29" t="s">
        <v>181</v>
      </c>
      <c r="D82" s="29" t="s">
        <v>94</v>
      </c>
      <c r="E82" s="29"/>
      <c r="F82" s="48">
        <v>45577</v>
      </c>
      <c r="G82" s="48">
        <v>45657</v>
      </c>
      <c r="H82" s="29">
        <v>2024</v>
      </c>
      <c r="I82" s="30">
        <v>4500000</v>
      </c>
      <c r="J82" s="26">
        <v>0</v>
      </c>
      <c r="K82" s="26">
        <f t="shared" si="1"/>
        <v>4500000</v>
      </c>
      <c r="L82" s="28">
        <v>0</v>
      </c>
      <c r="M82" s="28">
        <f t="shared" si="19"/>
        <v>4500000</v>
      </c>
      <c r="N82" s="36" t="s">
        <v>68</v>
      </c>
      <c r="O82" s="29" t="s">
        <v>69</v>
      </c>
      <c r="P82" s="29" t="s">
        <v>77</v>
      </c>
      <c r="Q82" s="29"/>
      <c r="S82" s="7"/>
      <c r="T82" s="7"/>
      <c r="U82" s="7"/>
      <c r="V82" s="7"/>
      <c r="AA82" t="str">
        <f>VLOOKUP(C82,[1]Sheet1!$C:$U,18,0)</f>
        <v/>
      </c>
    </row>
    <row r="83" spans="1:27" x14ac:dyDescent="0.3">
      <c r="A83" s="37" t="s">
        <v>182</v>
      </c>
      <c r="B83" s="29" t="s">
        <v>65</v>
      </c>
      <c r="C83" s="29" t="s">
        <v>183</v>
      </c>
      <c r="D83" s="29" t="s">
        <v>67</v>
      </c>
      <c r="E83" s="29"/>
      <c r="F83" s="48">
        <v>45301</v>
      </c>
      <c r="G83" s="48">
        <v>45382</v>
      </c>
      <c r="H83" s="29">
        <v>2024</v>
      </c>
      <c r="I83" s="30">
        <v>2313774</v>
      </c>
      <c r="J83" s="26">
        <v>2297230</v>
      </c>
      <c r="K83" s="26">
        <v>0</v>
      </c>
      <c r="L83" s="28">
        <v>0</v>
      </c>
      <c r="M83" s="27">
        <f t="shared" si="19"/>
        <v>0</v>
      </c>
      <c r="N83" s="36" t="s">
        <v>68</v>
      </c>
      <c r="O83" s="29" t="s">
        <v>69</v>
      </c>
      <c r="P83" s="29" t="s">
        <v>73</v>
      </c>
      <c r="Q83" s="29"/>
      <c r="S83" s="7" t="s">
        <v>184</v>
      </c>
      <c r="T83" s="7" t="s">
        <v>72</v>
      </c>
      <c r="U83" s="7" t="s">
        <v>72</v>
      </c>
      <c r="V83" s="7" t="s">
        <v>72</v>
      </c>
      <c r="AA83" t="str">
        <f>VLOOKUP(C83,[1]Sheet1!$C:$U,18,0)</f>
        <v/>
      </c>
    </row>
    <row r="84" spans="1:27" x14ac:dyDescent="0.3">
      <c r="A84" s="37" t="s">
        <v>182</v>
      </c>
      <c r="B84" s="29" t="s">
        <v>74</v>
      </c>
      <c r="C84" s="29" t="s">
        <v>185</v>
      </c>
      <c r="D84" s="29" t="s">
        <v>67</v>
      </c>
      <c r="E84" s="29"/>
      <c r="F84" s="48">
        <v>45303</v>
      </c>
      <c r="G84" s="48">
        <v>45382</v>
      </c>
      <c r="H84" s="29">
        <v>2024</v>
      </c>
      <c r="I84" s="30">
        <v>6000000</v>
      </c>
      <c r="J84" s="26">
        <v>6000000</v>
      </c>
      <c r="K84" s="26">
        <v>0</v>
      </c>
      <c r="L84" s="28">
        <v>0</v>
      </c>
      <c r="M84" s="27">
        <f t="shared" si="19"/>
        <v>0</v>
      </c>
      <c r="N84" s="36" t="s">
        <v>68</v>
      </c>
      <c r="O84" s="29" t="s">
        <v>69</v>
      </c>
      <c r="P84" s="29" t="s">
        <v>70</v>
      </c>
      <c r="Q84" s="29"/>
      <c r="S84" s="7" t="s">
        <v>76</v>
      </c>
      <c r="T84" s="7" t="s">
        <v>72</v>
      </c>
      <c r="U84" s="7" t="s">
        <v>72</v>
      </c>
      <c r="V84" s="7" t="s">
        <v>72</v>
      </c>
      <c r="AA84" t="str">
        <f>VLOOKUP(C84,[1]Sheet1!$C:$U,18,0)</f>
        <v/>
      </c>
    </row>
    <row r="85" spans="1:27" x14ac:dyDescent="0.3">
      <c r="A85" s="37" t="s">
        <v>182</v>
      </c>
      <c r="B85" s="29" t="s">
        <v>74</v>
      </c>
      <c r="C85" s="29" t="s">
        <v>185</v>
      </c>
      <c r="D85" s="29" t="s">
        <v>67</v>
      </c>
      <c r="E85" s="29"/>
      <c r="F85" s="48">
        <v>45303</v>
      </c>
      <c r="G85" s="48">
        <v>45382</v>
      </c>
      <c r="H85" s="29">
        <v>2024</v>
      </c>
      <c r="I85" s="30">
        <v>20000000</v>
      </c>
      <c r="J85" s="26">
        <v>20000000</v>
      </c>
      <c r="K85" s="26">
        <v>0</v>
      </c>
      <c r="L85" s="28">
        <v>0</v>
      </c>
      <c r="M85" s="27">
        <f t="shared" si="19"/>
        <v>0</v>
      </c>
      <c r="N85" s="36" t="s">
        <v>68</v>
      </c>
      <c r="O85" s="29" t="s">
        <v>69</v>
      </c>
      <c r="P85" s="29" t="s">
        <v>77</v>
      </c>
      <c r="Q85" s="29"/>
      <c r="S85" s="7" t="s">
        <v>76</v>
      </c>
      <c r="T85" s="7" t="s">
        <v>72</v>
      </c>
      <c r="U85" s="7" t="s">
        <v>72</v>
      </c>
      <c r="V85" s="7" t="s">
        <v>72</v>
      </c>
      <c r="AA85" t="str">
        <f>VLOOKUP(C85,[1]Sheet1!$C:$U,18,0)</f>
        <v/>
      </c>
    </row>
    <row r="86" spans="1:27" x14ac:dyDescent="0.3">
      <c r="A86" s="37" t="s">
        <v>182</v>
      </c>
      <c r="B86" s="29" t="s">
        <v>74</v>
      </c>
      <c r="C86" s="29" t="s">
        <v>185</v>
      </c>
      <c r="D86" s="29" t="s">
        <v>67</v>
      </c>
      <c r="E86" s="29"/>
      <c r="F86" s="48">
        <v>45303</v>
      </c>
      <c r="G86" s="48">
        <v>45382</v>
      </c>
      <c r="H86" s="29">
        <v>2024</v>
      </c>
      <c r="I86" s="30">
        <v>20000000</v>
      </c>
      <c r="J86" s="26">
        <v>20000000</v>
      </c>
      <c r="K86" s="26">
        <v>0</v>
      </c>
      <c r="L86" s="28">
        <v>0</v>
      </c>
      <c r="M86" s="27">
        <f t="shared" si="19"/>
        <v>0</v>
      </c>
      <c r="N86" s="36" t="s">
        <v>68</v>
      </c>
      <c r="O86" s="29" t="s">
        <v>69</v>
      </c>
      <c r="P86" s="29" t="s">
        <v>73</v>
      </c>
      <c r="Q86" s="29"/>
      <c r="S86" s="7" t="s">
        <v>76</v>
      </c>
      <c r="T86" s="7" t="s">
        <v>72</v>
      </c>
      <c r="U86" s="7" t="s">
        <v>72</v>
      </c>
      <c r="V86" s="7" t="s">
        <v>72</v>
      </c>
      <c r="AA86" t="str">
        <f>VLOOKUP(C86,[1]Sheet1!$C:$U,18,0)</f>
        <v/>
      </c>
    </row>
    <row r="87" spans="1:27" x14ac:dyDescent="0.3">
      <c r="A87" s="37" t="s">
        <v>182</v>
      </c>
      <c r="B87" s="29" t="s">
        <v>79</v>
      </c>
      <c r="C87" s="29" t="s">
        <v>186</v>
      </c>
      <c r="D87" s="29" t="s">
        <v>67</v>
      </c>
      <c r="E87" s="29"/>
      <c r="F87" s="48">
        <v>45337</v>
      </c>
      <c r="G87" s="48">
        <v>45443</v>
      </c>
      <c r="H87" s="29">
        <v>2024</v>
      </c>
      <c r="I87" s="30">
        <v>2000000</v>
      </c>
      <c r="J87" s="26">
        <v>2000000</v>
      </c>
      <c r="K87" s="26">
        <v>0</v>
      </c>
      <c r="L87" s="28">
        <v>0</v>
      </c>
      <c r="M87" s="27">
        <f t="shared" si="19"/>
        <v>0</v>
      </c>
      <c r="N87" s="36" t="s">
        <v>81</v>
      </c>
      <c r="O87" s="29" t="s">
        <v>82</v>
      </c>
      <c r="P87" s="29" t="s">
        <v>73</v>
      </c>
      <c r="Q87" s="29"/>
      <c r="S87" s="7" t="s">
        <v>187</v>
      </c>
      <c r="T87" s="7" t="s">
        <v>72</v>
      </c>
      <c r="U87" s="7" t="s">
        <v>72</v>
      </c>
      <c r="V87" s="7" t="s">
        <v>72</v>
      </c>
      <c r="AA87" t="str">
        <f>VLOOKUP(C87,[1]Sheet1!$C:$U,18,0)</f>
        <v/>
      </c>
    </row>
    <row r="88" spans="1:27" x14ac:dyDescent="0.3">
      <c r="A88" s="37" t="s">
        <v>182</v>
      </c>
      <c r="B88" s="29" t="s">
        <v>84</v>
      </c>
      <c r="C88" s="29" t="s">
        <v>188</v>
      </c>
      <c r="D88" s="29" t="s">
        <v>67</v>
      </c>
      <c r="E88" s="29"/>
      <c r="F88" s="48">
        <v>45337</v>
      </c>
      <c r="G88" s="48">
        <v>45443</v>
      </c>
      <c r="H88" s="29">
        <v>2024</v>
      </c>
      <c r="I88" s="30">
        <v>3000000</v>
      </c>
      <c r="J88" s="26">
        <v>3000000</v>
      </c>
      <c r="K88" s="26">
        <v>0</v>
      </c>
      <c r="L88" s="28">
        <v>0</v>
      </c>
      <c r="M88" s="27">
        <f t="shared" si="19"/>
        <v>0</v>
      </c>
      <c r="N88" s="36" t="s">
        <v>86</v>
      </c>
      <c r="O88" s="29" t="s">
        <v>87</v>
      </c>
      <c r="P88" s="29" t="s">
        <v>73</v>
      </c>
      <c r="Q88" s="29"/>
      <c r="S88" s="7" t="s">
        <v>187</v>
      </c>
      <c r="T88" s="7" t="s">
        <v>72</v>
      </c>
      <c r="U88" s="7" t="s">
        <v>72</v>
      </c>
      <c r="V88" s="7" t="s">
        <v>72</v>
      </c>
      <c r="AA88" t="str">
        <f>VLOOKUP(C88,[1]Sheet1!$C:$U,18,0)</f>
        <v/>
      </c>
    </row>
    <row r="89" spans="1:27" x14ac:dyDescent="0.3">
      <c r="A89" s="37" t="s">
        <v>182</v>
      </c>
      <c r="B89" s="29" t="s">
        <v>189</v>
      </c>
      <c r="C89" s="29" t="s">
        <v>190</v>
      </c>
      <c r="D89" s="29" t="s">
        <v>67</v>
      </c>
      <c r="E89" s="29"/>
      <c r="F89" s="48">
        <v>45363</v>
      </c>
      <c r="G89" s="48">
        <v>45443</v>
      </c>
      <c r="H89" s="29">
        <v>2024</v>
      </c>
      <c r="I89" s="30">
        <v>2256887</v>
      </c>
      <c r="J89" s="26">
        <v>2256887</v>
      </c>
      <c r="K89" s="26">
        <v>0</v>
      </c>
      <c r="L89" s="28">
        <v>0</v>
      </c>
      <c r="M89" s="27">
        <f t="shared" si="19"/>
        <v>0</v>
      </c>
      <c r="N89" s="36" t="s">
        <v>68</v>
      </c>
      <c r="O89" s="29" t="s">
        <v>69</v>
      </c>
      <c r="P89" s="29" t="s">
        <v>70</v>
      </c>
      <c r="Q89" s="29"/>
      <c r="S89" s="7" t="s">
        <v>91</v>
      </c>
      <c r="T89" s="7" t="s">
        <v>72</v>
      </c>
      <c r="U89" s="7" t="s">
        <v>72</v>
      </c>
      <c r="V89" s="7" t="s">
        <v>72</v>
      </c>
      <c r="AA89" t="str">
        <f>VLOOKUP(C89,[1]Sheet1!$C:$U,18,0)</f>
        <v/>
      </c>
    </row>
    <row r="90" spans="1:27" x14ac:dyDescent="0.3">
      <c r="A90" s="37" t="s">
        <v>182</v>
      </c>
      <c r="B90" s="29" t="s">
        <v>189</v>
      </c>
      <c r="C90" s="29" t="s">
        <v>190</v>
      </c>
      <c r="D90" s="29" t="s">
        <v>67</v>
      </c>
      <c r="E90" s="29"/>
      <c r="F90" s="48">
        <v>45363</v>
      </c>
      <c r="G90" s="48">
        <v>45443</v>
      </c>
      <c r="H90" s="29">
        <v>2024</v>
      </c>
      <c r="I90" s="30">
        <v>5000000</v>
      </c>
      <c r="J90" s="26">
        <v>5000000</v>
      </c>
      <c r="K90" s="26">
        <v>0</v>
      </c>
      <c r="L90" s="28">
        <v>0</v>
      </c>
      <c r="M90" s="27">
        <f t="shared" si="19"/>
        <v>0</v>
      </c>
      <c r="N90" s="36" t="s">
        <v>68</v>
      </c>
      <c r="O90" s="29" t="s">
        <v>69</v>
      </c>
      <c r="P90" s="29" t="s">
        <v>73</v>
      </c>
      <c r="Q90" s="29"/>
      <c r="S90" s="7" t="s">
        <v>91</v>
      </c>
      <c r="T90" s="7" t="s">
        <v>72</v>
      </c>
      <c r="U90" s="7" t="s">
        <v>72</v>
      </c>
      <c r="V90" s="7" t="s">
        <v>72</v>
      </c>
      <c r="AA90" t="str">
        <f>VLOOKUP(C90,[1]Sheet1!$C:$U,18,0)</f>
        <v/>
      </c>
    </row>
    <row r="91" spans="1:27" x14ac:dyDescent="0.3">
      <c r="A91" s="37" t="s">
        <v>182</v>
      </c>
      <c r="B91" s="29" t="s">
        <v>191</v>
      </c>
      <c r="C91" s="29" t="s">
        <v>192</v>
      </c>
      <c r="D91" s="29" t="s">
        <v>67</v>
      </c>
      <c r="E91" s="29"/>
      <c r="F91" s="48">
        <v>45378</v>
      </c>
      <c r="G91" s="48">
        <v>45443</v>
      </c>
      <c r="H91" s="29">
        <v>2024</v>
      </c>
      <c r="I91" s="30">
        <v>3000000</v>
      </c>
      <c r="J91" s="26">
        <v>3000000</v>
      </c>
      <c r="K91" s="26">
        <v>0</v>
      </c>
      <c r="L91" s="28">
        <v>0</v>
      </c>
      <c r="M91" s="27">
        <f t="shared" si="19"/>
        <v>0</v>
      </c>
      <c r="N91" s="36" t="s">
        <v>95</v>
      </c>
      <c r="O91" s="29" t="s">
        <v>96</v>
      </c>
      <c r="P91" s="29" t="s">
        <v>73</v>
      </c>
      <c r="Q91" s="29"/>
      <c r="S91" s="7" t="s">
        <v>193</v>
      </c>
      <c r="T91" s="7" t="s">
        <v>72</v>
      </c>
      <c r="U91" s="7" t="s">
        <v>72</v>
      </c>
      <c r="V91" s="7" t="s">
        <v>72</v>
      </c>
      <c r="AA91" t="str">
        <f>VLOOKUP(C91,[1]Sheet1!$C:$U,18,0)</f>
        <v/>
      </c>
    </row>
    <row r="92" spans="1:27" x14ac:dyDescent="0.3">
      <c r="A92" s="37" t="s">
        <v>182</v>
      </c>
      <c r="B92" s="29" t="s">
        <v>191</v>
      </c>
      <c r="C92" s="29" t="s">
        <v>192</v>
      </c>
      <c r="D92" s="29" t="s">
        <v>67</v>
      </c>
      <c r="E92" s="29"/>
      <c r="F92" s="48">
        <v>45378</v>
      </c>
      <c r="G92" s="48">
        <v>45443</v>
      </c>
      <c r="H92" s="29">
        <v>2024</v>
      </c>
      <c r="I92" s="30">
        <v>2000000</v>
      </c>
      <c r="J92" s="26">
        <v>2000000</v>
      </c>
      <c r="K92" s="26">
        <v>0</v>
      </c>
      <c r="L92" s="28">
        <v>0</v>
      </c>
      <c r="M92" s="27">
        <f t="shared" si="19"/>
        <v>0</v>
      </c>
      <c r="N92" s="36" t="s">
        <v>95</v>
      </c>
      <c r="O92" s="29" t="s">
        <v>96</v>
      </c>
      <c r="P92" s="29" t="s">
        <v>70</v>
      </c>
      <c r="Q92" s="29"/>
      <c r="S92" s="7" t="s">
        <v>187</v>
      </c>
      <c r="T92" s="7" t="s">
        <v>72</v>
      </c>
      <c r="U92" s="7" t="s">
        <v>72</v>
      </c>
      <c r="V92" s="7" t="s">
        <v>72</v>
      </c>
      <c r="AA92" t="str">
        <f>VLOOKUP(C92,[1]Sheet1!$C:$U,18,0)</f>
        <v/>
      </c>
    </row>
    <row r="93" spans="1:27" x14ac:dyDescent="0.3">
      <c r="A93" s="37" t="s">
        <v>182</v>
      </c>
      <c r="B93" s="29" t="s">
        <v>194</v>
      </c>
      <c r="C93" s="29" t="s">
        <v>195</v>
      </c>
      <c r="D93" s="29" t="s">
        <v>67</v>
      </c>
      <c r="E93" s="29"/>
      <c r="F93" s="48">
        <v>45383</v>
      </c>
      <c r="G93" s="48">
        <v>45473</v>
      </c>
      <c r="H93" s="29">
        <v>2024</v>
      </c>
      <c r="I93" s="30">
        <v>2256887</v>
      </c>
      <c r="J93" s="26">
        <v>2227900</v>
      </c>
      <c r="K93" s="26">
        <v>0</v>
      </c>
      <c r="L93" s="28">
        <v>0</v>
      </c>
      <c r="M93" s="27">
        <f t="shared" si="19"/>
        <v>0</v>
      </c>
      <c r="N93" s="36" t="s">
        <v>68</v>
      </c>
      <c r="O93" s="29" t="s">
        <v>69</v>
      </c>
      <c r="P93" s="29" t="s">
        <v>70</v>
      </c>
      <c r="Q93" s="29"/>
      <c r="S93" s="7" t="s">
        <v>101</v>
      </c>
      <c r="T93" s="7" t="s">
        <v>72</v>
      </c>
      <c r="U93" s="7" t="s">
        <v>72</v>
      </c>
      <c r="V93" s="7" t="s">
        <v>72</v>
      </c>
      <c r="AA93" t="str">
        <f>VLOOKUP(C93,[1]Sheet1!$C:$U,18,0)</f>
        <v/>
      </c>
    </row>
    <row r="94" spans="1:27" x14ac:dyDescent="0.3">
      <c r="A94" s="37" t="s">
        <v>182</v>
      </c>
      <c r="B94" s="29" t="s">
        <v>194</v>
      </c>
      <c r="C94" s="29" t="s">
        <v>195</v>
      </c>
      <c r="D94" s="29" t="s">
        <v>67</v>
      </c>
      <c r="E94" s="29"/>
      <c r="F94" s="48">
        <v>45383</v>
      </c>
      <c r="G94" s="48">
        <v>45473</v>
      </c>
      <c r="H94" s="29">
        <v>2024</v>
      </c>
      <c r="I94" s="30">
        <v>5000000</v>
      </c>
      <c r="J94" s="26">
        <v>5000000</v>
      </c>
      <c r="K94" s="26">
        <v>0</v>
      </c>
      <c r="L94" s="28">
        <v>0</v>
      </c>
      <c r="M94" s="27">
        <f t="shared" si="19"/>
        <v>0</v>
      </c>
      <c r="N94" s="36" t="s">
        <v>68</v>
      </c>
      <c r="O94" s="29" t="s">
        <v>69</v>
      </c>
      <c r="P94" s="29" t="s">
        <v>73</v>
      </c>
      <c r="Q94" s="29"/>
      <c r="S94" s="7" t="s">
        <v>101</v>
      </c>
      <c r="T94" s="7" t="s">
        <v>72</v>
      </c>
      <c r="U94" s="7" t="s">
        <v>72</v>
      </c>
      <c r="V94" s="7" t="s">
        <v>72</v>
      </c>
      <c r="AA94" t="str">
        <f>VLOOKUP(C94,[1]Sheet1!$C:$U,18,0)</f>
        <v/>
      </c>
    </row>
    <row r="95" spans="1:27" x14ac:dyDescent="0.3">
      <c r="A95" s="37" t="s">
        <v>182</v>
      </c>
      <c r="B95" s="29" t="s">
        <v>102</v>
      </c>
      <c r="C95" s="29" t="s">
        <v>196</v>
      </c>
      <c r="D95" s="29" t="s">
        <v>67</v>
      </c>
      <c r="E95" s="29"/>
      <c r="F95" s="48">
        <v>45385</v>
      </c>
      <c r="G95" s="48">
        <v>45504</v>
      </c>
      <c r="H95" s="29">
        <v>2024</v>
      </c>
      <c r="I95" s="30">
        <v>4000000</v>
      </c>
      <c r="J95" s="26">
        <v>3966266</v>
      </c>
      <c r="K95" s="26">
        <v>0</v>
      </c>
      <c r="L95" s="28">
        <v>0</v>
      </c>
      <c r="M95" s="27">
        <f t="shared" si="19"/>
        <v>0</v>
      </c>
      <c r="N95" s="36" t="s">
        <v>68</v>
      </c>
      <c r="O95" s="29" t="s">
        <v>69</v>
      </c>
      <c r="P95" s="29" t="s">
        <v>70</v>
      </c>
      <c r="Q95" s="29"/>
      <c r="S95" s="7" t="s">
        <v>197</v>
      </c>
      <c r="T95" s="7" t="s">
        <v>72</v>
      </c>
      <c r="U95" s="7" t="s">
        <v>72</v>
      </c>
      <c r="V95" s="7" t="s">
        <v>72</v>
      </c>
      <c r="AA95" t="str">
        <f>VLOOKUP(C95,[1]Sheet1!$C:$U,18,0)</f>
        <v/>
      </c>
    </row>
    <row r="96" spans="1:27" x14ac:dyDescent="0.3">
      <c r="A96" s="37" t="s">
        <v>182</v>
      </c>
      <c r="B96" s="29" t="s">
        <v>102</v>
      </c>
      <c r="C96" s="29" t="s">
        <v>196</v>
      </c>
      <c r="D96" s="29" t="s">
        <v>67</v>
      </c>
      <c r="E96" s="29"/>
      <c r="F96" s="48">
        <v>45385</v>
      </c>
      <c r="G96" s="48">
        <v>45504</v>
      </c>
      <c r="H96" s="29">
        <v>2024</v>
      </c>
      <c r="I96" s="30">
        <v>3000000</v>
      </c>
      <c r="J96" s="26">
        <v>3000000</v>
      </c>
      <c r="K96" s="26">
        <v>0</v>
      </c>
      <c r="L96" s="28">
        <v>0</v>
      </c>
      <c r="M96" s="27">
        <f t="shared" si="19"/>
        <v>0</v>
      </c>
      <c r="N96" s="36" t="s">
        <v>68</v>
      </c>
      <c r="O96" s="29" t="s">
        <v>69</v>
      </c>
      <c r="P96" s="29" t="s">
        <v>77</v>
      </c>
      <c r="Q96" s="29"/>
      <c r="S96" s="7" t="s">
        <v>197</v>
      </c>
      <c r="T96" s="7" t="s">
        <v>72</v>
      </c>
      <c r="U96" s="7" t="s">
        <v>72</v>
      </c>
      <c r="V96" s="7" t="s">
        <v>72</v>
      </c>
      <c r="AA96" t="str">
        <f>VLOOKUP(C96,[1]Sheet1!$C:$U,18,0)</f>
        <v/>
      </c>
    </row>
    <row r="97" spans="1:27" x14ac:dyDescent="0.3">
      <c r="A97" s="37" t="s">
        <v>182</v>
      </c>
      <c r="B97" s="29" t="s">
        <v>102</v>
      </c>
      <c r="C97" s="29" t="s">
        <v>196</v>
      </c>
      <c r="D97" s="29" t="s">
        <v>67</v>
      </c>
      <c r="E97" s="29"/>
      <c r="F97" s="48">
        <v>45385</v>
      </c>
      <c r="G97" s="48">
        <v>45504</v>
      </c>
      <c r="H97" s="29">
        <v>2024</v>
      </c>
      <c r="I97" s="30">
        <v>7000000</v>
      </c>
      <c r="J97" s="26">
        <v>7000000</v>
      </c>
      <c r="K97" s="26">
        <v>0</v>
      </c>
      <c r="L97" s="28">
        <v>0</v>
      </c>
      <c r="M97" s="27">
        <f t="shared" si="19"/>
        <v>0</v>
      </c>
      <c r="N97" s="36" t="s">
        <v>68</v>
      </c>
      <c r="O97" s="29" t="s">
        <v>69</v>
      </c>
      <c r="P97" s="29" t="s">
        <v>73</v>
      </c>
      <c r="Q97" s="29"/>
      <c r="S97" s="7" t="s">
        <v>197</v>
      </c>
      <c r="T97" s="7" t="s">
        <v>72</v>
      </c>
      <c r="U97" s="7" t="s">
        <v>72</v>
      </c>
      <c r="V97" s="7" t="s">
        <v>72</v>
      </c>
      <c r="AA97" t="str">
        <f>VLOOKUP(C97,[1]Sheet1!$C:$U,18,0)</f>
        <v/>
      </c>
    </row>
    <row r="98" spans="1:27" x14ac:dyDescent="0.3">
      <c r="A98" s="37" t="s">
        <v>182</v>
      </c>
      <c r="B98" s="29" t="s">
        <v>198</v>
      </c>
      <c r="C98" s="29" t="s">
        <v>199</v>
      </c>
      <c r="D98" s="29" t="s">
        <v>67</v>
      </c>
      <c r="E98" s="29"/>
      <c r="F98" s="48">
        <v>45404</v>
      </c>
      <c r="G98" s="48">
        <v>45473</v>
      </c>
      <c r="H98" s="29">
        <v>2024</v>
      </c>
      <c r="I98" s="30">
        <v>1000000</v>
      </c>
      <c r="J98" s="26">
        <v>892130</v>
      </c>
      <c r="K98" s="26">
        <v>0</v>
      </c>
      <c r="L98" s="28">
        <v>0</v>
      </c>
      <c r="M98" s="27">
        <f t="shared" si="19"/>
        <v>0</v>
      </c>
      <c r="N98" s="36" t="s">
        <v>68</v>
      </c>
      <c r="O98" s="29" t="s">
        <v>69</v>
      </c>
      <c r="P98" s="29" t="s">
        <v>70</v>
      </c>
      <c r="Q98" s="29"/>
      <c r="S98" s="7" t="s">
        <v>200</v>
      </c>
      <c r="T98" s="7" t="s">
        <v>72</v>
      </c>
      <c r="U98" s="7" t="s">
        <v>72</v>
      </c>
      <c r="V98" s="7" t="s">
        <v>72</v>
      </c>
      <c r="AA98" t="str">
        <f>VLOOKUP(C98,[1]Sheet1!$C:$U,18,0)</f>
        <v/>
      </c>
    </row>
    <row r="99" spans="1:27" x14ac:dyDescent="0.3">
      <c r="A99" s="37" t="s">
        <v>182</v>
      </c>
      <c r="B99" s="29" t="s">
        <v>198</v>
      </c>
      <c r="C99" s="29" t="s">
        <v>199</v>
      </c>
      <c r="D99" s="29" t="s">
        <v>67</v>
      </c>
      <c r="E99" s="29"/>
      <c r="F99" s="48">
        <v>45404</v>
      </c>
      <c r="G99" s="48">
        <v>45473</v>
      </c>
      <c r="H99" s="29">
        <v>2024</v>
      </c>
      <c r="I99" s="30">
        <v>3000000</v>
      </c>
      <c r="J99" s="26">
        <v>3000000</v>
      </c>
      <c r="K99" s="26">
        <v>0</v>
      </c>
      <c r="L99" s="28">
        <v>0</v>
      </c>
      <c r="M99" s="27">
        <f t="shared" si="19"/>
        <v>0</v>
      </c>
      <c r="N99" s="36" t="s">
        <v>68</v>
      </c>
      <c r="O99" s="29" t="s">
        <v>69</v>
      </c>
      <c r="P99" s="29" t="s">
        <v>73</v>
      </c>
      <c r="Q99" s="29"/>
      <c r="S99" s="7" t="s">
        <v>200</v>
      </c>
      <c r="T99" s="7" t="s">
        <v>72</v>
      </c>
      <c r="U99" s="7" t="s">
        <v>72</v>
      </c>
      <c r="V99" s="7" t="s">
        <v>72</v>
      </c>
      <c r="AA99" t="str">
        <f>VLOOKUP(C99,[1]Sheet1!$C:$U,18,0)</f>
        <v/>
      </c>
    </row>
    <row r="100" spans="1:27" x14ac:dyDescent="0.3">
      <c r="A100" s="37" t="s">
        <v>182</v>
      </c>
      <c r="B100" s="29" t="s">
        <v>201</v>
      </c>
      <c r="C100" s="29" t="s">
        <v>202</v>
      </c>
      <c r="D100" s="29" t="s">
        <v>67</v>
      </c>
      <c r="E100" s="29"/>
      <c r="F100" s="48">
        <v>45408</v>
      </c>
      <c r="G100" s="48">
        <v>45473</v>
      </c>
      <c r="H100" s="29">
        <v>2024</v>
      </c>
      <c r="I100" s="30">
        <v>12500000</v>
      </c>
      <c r="J100" s="26">
        <v>12500000</v>
      </c>
      <c r="K100" s="26">
        <v>0</v>
      </c>
      <c r="L100" s="28">
        <v>0</v>
      </c>
      <c r="M100" s="27">
        <f t="shared" si="19"/>
        <v>0</v>
      </c>
      <c r="N100" s="36" t="s">
        <v>86</v>
      </c>
      <c r="O100" s="29" t="s">
        <v>87</v>
      </c>
      <c r="P100" s="29" t="s">
        <v>73</v>
      </c>
      <c r="Q100" s="29"/>
      <c r="S100" s="7"/>
      <c r="T100" s="7" t="s">
        <v>72</v>
      </c>
      <c r="U100" s="7" t="s">
        <v>72</v>
      </c>
      <c r="V100" s="7" t="s">
        <v>72</v>
      </c>
      <c r="AA100" t="str">
        <f>VLOOKUP(C100,[1]Sheet1!$C:$U,18,0)</f>
        <v/>
      </c>
    </row>
    <row r="101" spans="1:27" x14ac:dyDescent="0.3">
      <c r="A101" s="37" t="s">
        <v>182</v>
      </c>
      <c r="B101" s="29" t="s">
        <v>203</v>
      </c>
      <c r="C101" s="29" t="s">
        <v>204</v>
      </c>
      <c r="D101" s="29" t="s">
        <v>67</v>
      </c>
      <c r="E101" s="29"/>
      <c r="F101" s="48">
        <v>45408</v>
      </c>
      <c r="G101" s="48">
        <v>45473</v>
      </c>
      <c r="H101" s="29">
        <v>2024</v>
      </c>
      <c r="I101" s="30">
        <v>13252922</v>
      </c>
      <c r="J101" s="26">
        <v>13252922</v>
      </c>
      <c r="K101" s="26">
        <v>0</v>
      </c>
      <c r="L101" s="28">
        <v>0</v>
      </c>
      <c r="M101" s="27">
        <f t="shared" si="19"/>
        <v>0</v>
      </c>
      <c r="N101" s="36" t="s">
        <v>86</v>
      </c>
      <c r="O101" s="29" t="s">
        <v>87</v>
      </c>
      <c r="P101" s="29" t="s">
        <v>70</v>
      </c>
      <c r="Q101" s="29"/>
      <c r="S101" s="7"/>
      <c r="T101" s="7" t="s">
        <v>72</v>
      </c>
      <c r="U101" s="7" t="s">
        <v>72</v>
      </c>
      <c r="V101" s="7" t="s">
        <v>72</v>
      </c>
      <c r="AA101" t="str">
        <f>VLOOKUP(C101,[1]Sheet1!$C:$U,18,0)</f>
        <v/>
      </c>
    </row>
    <row r="102" spans="1:27" x14ac:dyDescent="0.3">
      <c r="A102" s="37" t="s">
        <v>182</v>
      </c>
      <c r="B102" s="29" t="s">
        <v>205</v>
      </c>
      <c r="C102" s="29" t="s">
        <v>206</v>
      </c>
      <c r="D102" s="29" t="s">
        <v>67</v>
      </c>
      <c r="E102" s="29"/>
      <c r="F102" s="48">
        <v>45413</v>
      </c>
      <c r="G102" s="48">
        <v>45504</v>
      </c>
      <c r="H102" s="29">
        <v>2024</v>
      </c>
      <c r="I102" s="30">
        <v>2256887</v>
      </c>
      <c r="J102" s="26">
        <v>0</v>
      </c>
      <c r="K102" s="26">
        <f t="shared" ref="K102:K189" si="28">I102-J102</f>
        <v>2256887</v>
      </c>
      <c r="L102" s="28">
        <v>2256887</v>
      </c>
      <c r="M102" s="27">
        <f t="shared" ref="M102:M122" si="29">K102-L102</f>
        <v>0</v>
      </c>
      <c r="N102" s="36" t="s">
        <v>68</v>
      </c>
      <c r="O102" s="29" t="s">
        <v>69</v>
      </c>
      <c r="P102" s="29" t="s">
        <v>70</v>
      </c>
      <c r="Q102" s="29"/>
      <c r="S102" s="7" t="s">
        <v>207</v>
      </c>
      <c r="T102" s="7" t="s">
        <v>72</v>
      </c>
      <c r="U102" s="7" t="s">
        <v>72</v>
      </c>
      <c r="V102" s="7" t="s">
        <v>72</v>
      </c>
      <c r="AA102" t="str">
        <f>VLOOKUP(C102,[1]Sheet1!$C:$U,18,0)</f>
        <v/>
      </c>
    </row>
    <row r="103" spans="1:27" x14ac:dyDescent="0.3">
      <c r="A103" s="37" t="s">
        <v>182</v>
      </c>
      <c r="B103" s="29" t="s">
        <v>205</v>
      </c>
      <c r="C103" s="29" t="s">
        <v>206</v>
      </c>
      <c r="D103" s="29" t="s">
        <v>67</v>
      </c>
      <c r="E103" s="29"/>
      <c r="F103" s="48">
        <v>45413</v>
      </c>
      <c r="G103" s="48">
        <v>45504</v>
      </c>
      <c r="H103" s="29">
        <v>2024</v>
      </c>
      <c r="I103" s="30">
        <v>1978429</v>
      </c>
      <c r="J103" s="26">
        <v>0</v>
      </c>
      <c r="K103" s="26">
        <f t="shared" si="28"/>
        <v>1978429</v>
      </c>
      <c r="L103" s="28">
        <v>1978429</v>
      </c>
      <c r="M103" s="27">
        <f t="shared" si="29"/>
        <v>0</v>
      </c>
      <c r="N103" s="36" t="s">
        <v>68</v>
      </c>
      <c r="O103" s="29" t="s">
        <v>69</v>
      </c>
      <c r="P103" s="29" t="s">
        <v>73</v>
      </c>
      <c r="Q103" s="29"/>
      <c r="S103" s="7" t="s">
        <v>207</v>
      </c>
      <c r="T103" s="7" t="s">
        <v>72</v>
      </c>
      <c r="U103" s="7" t="s">
        <v>72</v>
      </c>
      <c r="V103" s="7" t="s">
        <v>72</v>
      </c>
      <c r="AA103" t="str">
        <f>VLOOKUP(C103,[1]Sheet1!$C:$U,18,0)</f>
        <v/>
      </c>
    </row>
    <row r="104" spans="1:27" x14ac:dyDescent="0.3">
      <c r="A104" s="37" t="s">
        <v>182</v>
      </c>
      <c r="B104" s="29" t="s">
        <v>205</v>
      </c>
      <c r="C104" s="29" t="s">
        <v>208</v>
      </c>
      <c r="D104" s="29" t="s">
        <v>67</v>
      </c>
      <c r="E104" s="29"/>
      <c r="F104" s="48">
        <v>45413</v>
      </c>
      <c r="G104" s="48">
        <v>45504</v>
      </c>
      <c r="H104" s="29">
        <v>2024</v>
      </c>
      <c r="I104" s="30">
        <v>3021571</v>
      </c>
      <c r="J104" s="26">
        <v>0</v>
      </c>
      <c r="K104" s="26">
        <f t="shared" si="28"/>
        <v>3021571</v>
      </c>
      <c r="L104" s="28">
        <v>3021571</v>
      </c>
      <c r="M104" s="27">
        <f t="shared" si="29"/>
        <v>0</v>
      </c>
      <c r="N104" s="36" t="s">
        <v>68</v>
      </c>
      <c r="O104" s="29" t="s">
        <v>69</v>
      </c>
      <c r="P104" s="29" t="s">
        <v>73</v>
      </c>
      <c r="Q104" s="29"/>
      <c r="S104" s="7" t="s">
        <v>116</v>
      </c>
      <c r="T104" s="7" t="s">
        <v>72</v>
      </c>
      <c r="U104" s="7" t="s">
        <v>72</v>
      </c>
      <c r="V104" s="7" t="s">
        <v>72</v>
      </c>
    </row>
    <row r="105" spans="1:27" x14ac:dyDescent="0.3">
      <c r="A105" s="37" t="s">
        <v>182</v>
      </c>
      <c r="B105" s="29" t="s">
        <v>117</v>
      </c>
      <c r="C105" s="29" t="s">
        <v>209</v>
      </c>
      <c r="D105" s="29" t="s">
        <v>67</v>
      </c>
      <c r="E105" s="29"/>
      <c r="F105" s="48">
        <v>45427</v>
      </c>
      <c r="G105" s="48">
        <v>45535</v>
      </c>
      <c r="H105" s="29">
        <v>2024</v>
      </c>
      <c r="I105" s="30">
        <v>2000000</v>
      </c>
      <c r="J105" s="26">
        <v>0</v>
      </c>
      <c r="K105" s="26">
        <f t="shared" si="28"/>
        <v>2000000</v>
      </c>
      <c r="L105" s="28">
        <v>2000000</v>
      </c>
      <c r="M105" s="27">
        <f t="shared" si="29"/>
        <v>0</v>
      </c>
      <c r="N105" s="36" t="s">
        <v>81</v>
      </c>
      <c r="O105" s="29" t="s">
        <v>82</v>
      </c>
      <c r="P105" s="29" t="s">
        <v>70</v>
      </c>
      <c r="Q105" s="29"/>
      <c r="S105" s="7" t="s">
        <v>210</v>
      </c>
      <c r="T105" s="7" t="s">
        <v>72</v>
      </c>
      <c r="U105" s="7" t="s">
        <v>72</v>
      </c>
      <c r="V105" s="7" t="s">
        <v>72</v>
      </c>
      <c r="AA105" t="str">
        <f>VLOOKUP(C105,[1]Sheet1!$C:$U,18,0)</f>
        <v/>
      </c>
    </row>
    <row r="106" spans="1:27" x14ac:dyDescent="0.3">
      <c r="A106" s="37" t="s">
        <v>182</v>
      </c>
      <c r="B106" s="29" t="s">
        <v>117</v>
      </c>
      <c r="C106" s="29" t="s">
        <v>211</v>
      </c>
      <c r="D106" s="29" t="s">
        <v>67</v>
      </c>
      <c r="E106" s="29"/>
      <c r="F106" s="48">
        <v>45427</v>
      </c>
      <c r="G106" s="48">
        <v>45535</v>
      </c>
      <c r="H106" s="29">
        <v>2024</v>
      </c>
      <c r="I106" s="30">
        <v>921641</v>
      </c>
      <c r="J106" s="26">
        <v>0</v>
      </c>
      <c r="K106" s="26">
        <f t="shared" ref="K106" si="30">I106-J106</f>
        <v>921641</v>
      </c>
      <c r="L106" s="28">
        <v>921641</v>
      </c>
      <c r="M106" s="27">
        <f t="shared" si="29"/>
        <v>0</v>
      </c>
      <c r="N106" s="36" t="s">
        <v>81</v>
      </c>
      <c r="O106" s="29" t="s">
        <v>82</v>
      </c>
      <c r="P106" s="29" t="s">
        <v>70</v>
      </c>
      <c r="Q106" s="29"/>
      <c r="S106" s="7" t="s">
        <v>212</v>
      </c>
      <c r="T106" s="7" t="s">
        <v>72</v>
      </c>
      <c r="U106" s="7" t="s">
        <v>72</v>
      </c>
      <c r="V106" s="7" t="s">
        <v>72</v>
      </c>
    </row>
    <row r="107" spans="1:27" x14ac:dyDescent="0.3">
      <c r="A107" s="37" t="s">
        <v>182</v>
      </c>
      <c r="B107" s="29" t="s">
        <v>117</v>
      </c>
      <c r="C107" s="29" t="s">
        <v>213</v>
      </c>
      <c r="D107" s="29" t="s">
        <v>67</v>
      </c>
      <c r="E107" s="29"/>
      <c r="F107" s="48">
        <v>45427</v>
      </c>
      <c r="G107" s="48">
        <v>45535</v>
      </c>
      <c r="H107" s="29">
        <v>2024</v>
      </c>
      <c r="I107" s="30">
        <v>78359</v>
      </c>
      <c r="J107" s="26">
        <v>0</v>
      </c>
      <c r="K107" s="26">
        <f t="shared" ref="K107" si="31">I107-J107</f>
        <v>78359</v>
      </c>
      <c r="L107" s="28">
        <v>78359</v>
      </c>
      <c r="M107" s="27">
        <f t="shared" si="29"/>
        <v>0</v>
      </c>
      <c r="N107" s="36" t="s">
        <v>81</v>
      </c>
      <c r="O107" s="29" t="s">
        <v>82</v>
      </c>
      <c r="P107" s="29" t="s">
        <v>70</v>
      </c>
      <c r="Q107" s="29"/>
      <c r="S107" s="7" t="s">
        <v>214</v>
      </c>
      <c r="T107" s="7" t="s">
        <v>72</v>
      </c>
      <c r="U107" s="7" t="s">
        <v>72</v>
      </c>
      <c r="V107" s="7" t="s">
        <v>72</v>
      </c>
    </row>
    <row r="108" spans="1:27" x14ac:dyDescent="0.3">
      <c r="A108" s="37" t="s">
        <v>182</v>
      </c>
      <c r="B108" s="29" t="s">
        <v>117</v>
      </c>
      <c r="C108" s="29" t="s">
        <v>209</v>
      </c>
      <c r="D108" s="29" t="s">
        <v>67</v>
      </c>
      <c r="E108" s="29"/>
      <c r="F108" s="48">
        <v>45427</v>
      </c>
      <c r="G108" s="48">
        <v>45535</v>
      </c>
      <c r="H108" s="29">
        <v>2024</v>
      </c>
      <c r="I108" s="30">
        <v>2982315</v>
      </c>
      <c r="J108" s="26">
        <v>0</v>
      </c>
      <c r="K108" s="26">
        <f t="shared" si="28"/>
        <v>2982315</v>
      </c>
      <c r="L108" s="28">
        <v>2982315</v>
      </c>
      <c r="M108" s="27">
        <f t="shared" si="29"/>
        <v>0</v>
      </c>
      <c r="N108" s="36" t="s">
        <v>81</v>
      </c>
      <c r="O108" s="29" t="s">
        <v>82</v>
      </c>
      <c r="P108" s="29" t="s">
        <v>73</v>
      </c>
      <c r="Q108" s="29"/>
      <c r="S108" s="7" t="s">
        <v>210</v>
      </c>
      <c r="T108" s="7" t="s">
        <v>72</v>
      </c>
      <c r="U108" s="7" t="s">
        <v>72</v>
      </c>
      <c r="V108" s="7" t="s">
        <v>72</v>
      </c>
      <c r="AA108" t="str">
        <f>VLOOKUP(C108,[1]Sheet1!$C:$U,18,0)</f>
        <v/>
      </c>
    </row>
    <row r="109" spans="1:27" x14ac:dyDescent="0.3">
      <c r="A109" s="37" t="s">
        <v>182</v>
      </c>
      <c r="B109" s="29" t="s">
        <v>117</v>
      </c>
      <c r="C109" s="29" t="s">
        <v>211</v>
      </c>
      <c r="D109" s="29" t="s">
        <v>67</v>
      </c>
      <c r="E109" s="29"/>
      <c r="F109" s="48">
        <v>45427</v>
      </c>
      <c r="G109" s="48">
        <v>45535</v>
      </c>
      <c r="H109" s="29">
        <v>2024</v>
      </c>
      <c r="I109" s="30">
        <v>1000000</v>
      </c>
      <c r="J109" s="26">
        <v>0</v>
      </c>
      <c r="K109" s="26">
        <f t="shared" ref="K109" si="32">I109-J109</f>
        <v>1000000</v>
      </c>
      <c r="L109" s="28">
        <v>1000000</v>
      </c>
      <c r="M109" s="27">
        <f t="shared" si="29"/>
        <v>0</v>
      </c>
      <c r="N109" s="36" t="s">
        <v>81</v>
      </c>
      <c r="O109" s="29" t="s">
        <v>82</v>
      </c>
      <c r="P109" s="29" t="s">
        <v>73</v>
      </c>
      <c r="Q109" s="29"/>
      <c r="S109" s="7" t="s">
        <v>212</v>
      </c>
      <c r="T109" s="7" t="s">
        <v>72</v>
      </c>
      <c r="U109" s="7" t="s">
        <v>72</v>
      </c>
      <c r="V109" s="7" t="s">
        <v>72</v>
      </c>
    </row>
    <row r="110" spans="1:27" x14ac:dyDescent="0.3">
      <c r="A110" s="37" t="s">
        <v>182</v>
      </c>
      <c r="B110" s="29" t="s">
        <v>117</v>
      </c>
      <c r="C110" s="29" t="s">
        <v>213</v>
      </c>
      <c r="D110" s="29" t="s">
        <v>67</v>
      </c>
      <c r="E110" s="29"/>
      <c r="F110" s="48">
        <v>45427</v>
      </c>
      <c r="G110" s="48">
        <v>45535</v>
      </c>
      <c r="H110" s="29">
        <v>2024</v>
      </c>
      <c r="I110" s="30">
        <v>17685</v>
      </c>
      <c r="J110" s="26">
        <v>0</v>
      </c>
      <c r="K110" s="26">
        <f t="shared" ref="K110" si="33">I110-J110</f>
        <v>17685</v>
      </c>
      <c r="L110" s="28">
        <v>17685</v>
      </c>
      <c r="M110" s="27">
        <f t="shared" si="29"/>
        <v>0</v>
      </c>
      <c r="N110" s="36" t="s">
        <v>81</v>
      </c>
      <c r="O110" s="29" t="s">
        <v>82</v>
      </c>
      <c r="P110" s="29" t="s">
        <v>73</v>
      </c>
      <c r="Q110" s="29"/>
      <c r="S110" s="7" t="s">
        <v>214</v>
      </c>
      <c r="T110" s="7" t="s">
        <v>72</v>
      </c>
      <c r="U110" s="7" t="s">
        <v>72</v>
      </c>
      <c r="V110" s="7" t="s">
        <v>72</v>
      </c>
    </row>
    <row r="111" spans="1:27" x14ac:dyDescent="0.3">
      <c r="A111" s="37" t="s">
        <v>182</v>
      </c>
      <c r="B111" s="29" t="s">
        <v>120</v>
      </c>
      <c r="C111" s="29" t="s">
        <v>215</v>
      </c>
      <c r="D111" s="29" t="s">
        <v>67</v>
      </c>
      <c r="E111" s="29"/>
      <c r="F111" s="48">
        <v>45437</v>
      </c>
      <c r="G111" s="48">
        <v>45535</v>
      </c>
      <c r="H111" s="29">
        <v>2024</v>
      </c>
      <c r="I111" s="30">
        <v>2000000</v>
      </c>
      <c r="J111" s="26">
        <v>0</v>
      </c>
      <c r="K111" s="26">
        <f t="shared" si="28"/>
        <v>2000000</v>
      </c>
      <c r="L111" s="28">
        <v>2000000</v>
      </c>
      <c r="M111" s="27">
        <f t="shared" si="29"/>
        <v>0</v>
      </c>
      <c r="N111" s="36" t="s">
        <v>95</v>
      </c>
      <c r="O111" s="29" t="s">
        <v>96</v>
      </c>
      <c r="P111" s="29" t="s">
        <v>73</v>
      </c>
      <c r="Q111" s="29"/>
      <c r="S111" s="7" t="s">
        <v>210</v>
      </c>
      <c r="T111" s="7" t="s">
        <v>72</v>
      </c>
      <c r="U111" s="7" t="s">
        <v>72</v>
      </c>
      <c r="V111" s="7" t="s">
        <v>72</v>
      </c>
      <c r="AA111" t="str">
        <f>VLOOKUP(C111,[1]Sheet1!$C:$U,18,0)</f>
        <v/>
      </c>
    </row>
    <row r="112" spans="1:27" x14ac:dyDescent="0.3">
      <c r="A112" s="37" t="s">
        <v>182</v>
      </c>
      <c r="B112" s="29" t="s">
        <v>123</v>
      </c>
      <c r="C112" s="29" t="s">
        <v>216</v>
      </c>
      <c r="D112" s="29" t="s">
        <v>67</v>
      </c>
      <c r="E112" s="29"/>
      <c r="F112" s="48">
        <v>45442</v>
      </c>
      <c r="G112" s="48">
        <v>45473</v>
      </c>
      <c r="H112" s="29">
        <v>2024</v>
      </c>
      <c r="I112" s="30">
        <v>1000000</v>
      </c>
      <c r="J112" s="26">
        <v>0</v>
      </c>
      <c r="K112" s="26">
        <f t="shared" si="28"/>
        <v>1000000</v>
      </c>
      <c r="L112" s="28">
        <v>1000000</v>
      </c>
      <c r="M112" s="27">
        <f t="shared" si="29"/>
        <v>0</v>
      </c>
      <c r="N112" s="36" t="s">
        <v>86</v>
      </c>
      <c r="O112" s="29" t="s">
        <v>87</v>
      </c>
      <c r="P112" s="29" t="s">
        <v>70</v>
      </c>
      <c r="Q112" s="29"/>
      <c r="S112" s="7" t="s">
        <v>210</v>
      </c>
      <c r="T112" s="7" t="s">
        <v>72</v>
      </c>
      <c r="U112" s="7" t="s">
        <v>72</v>
      </c>
      <c r="V112" s="7" t="s">
        <v>72</v>
      </c>
      <c r="AA112" t="str">
        <f>VLOOKUP(C112,[1]Sheet1!$C:$U,18,0)</f>
        <v/>
      </c>
    </row>
    <row r="113" spans="1:27" x14ac:dyDescent="0.3">
      <c r="A113" s="37" t="s">
        <v>182</v>
      </c>
      <c r="B113" s="29" t="s">
        <v>123</v>
      </c>
      <c r="C113" s="29" t="s">
        <v>216</v>
      </c>
      <c r="D113" s="29" t="s">
        <v>67</v>
      </c>
      <c r="E113" s="29"/>
      <c r="F113" s="48">
        <v>45442</v>
      </c>
      <c r="G113" s="48">
        <v>45473</v>
      </c>
      <c r="H113" s="29">
        <v>2024</v>
      </c>
      <c r="I113" s="30">
        <v>2000000</v>
      </c>
      <c r="J113" s="26">
        <v>0</v>
      </c>
      <c r="K113" s="26">
        <f t="shared" si="28"/>
        <v>2000000</v>
      </c>
      <c r="L113" s="28">
        <v>2000000</v>
      </c>
      <c r="M113" s="27">
        <f t="shared" si="29"/>
        <v>0</v>
      </c>
      <c r="N113" s="36" t="s">
        <v>86</v>
      </c>
      <c r="O113" s="29" t="s">
        <v>87</v>
      </c>
      <c r="P113" s="29" t="s">
        <v>73</v>
      </c>
      <c r="Q113" s="29"/>
      <c r="S113" s="7" t="s">
        <v>210</v>
      </c>
      <c r="T113" s="7" t="s">
        <v>72</v>
      </c>
      <c r="U113" s="7" t="s">
        <v>72</v>
      </c>
      <c r="V113" s="7" t="s">
        <v>72</v>
      </c>
      <c r="AA113" t="str">
        <f>VLOOKUP(C113,[1]Sheet1!$C:$U,18,0)</f>
        <v/>
      </c>
    </row>
    <row r="114" spans="1:27" x14ac:dyDescent="0.3">
      <c r="A114" s="37" t="s">
        <v>182</v>
      </c>
      <c r="B114" s="29" t="s">
        <v>125</v>
      </c>
      <c r="C114" s="29" t="s">
        <v>217</v>
      </c>
      <c r="D114" s="29" t="s">
        <v>67</v>
      </c>
      <c r="E114" s="29"/>
      <c r="F114" s="48">
        <v>45444</v>
      </c>
      <c r="G114" s="48">
        <v>45535</v>
      </c>
      <c r="H114" s="29">
        <v>2024</v>
      </c>
      <c r="I114" s="30">
        <v>1000000</v>
      </c>
      <c r="J114" s="26">
        <v>0</v>
      </c>
      <c r="K114" s="26">
        <f t="shared" si="28"/>
        <v>1000000</v>
      </c>
      <c r="L114" s="28">
        <v>1000000</v>
      </c>
      <c r="M114" s="27">
        <f t="shared" si="29"/>
        <v>0</v>
      </c>
      <c r="N114" s="36" t="s">
        <v>86</v>
      </c>
      <c r="O114" s="29" t="s">
        <v>87</v>
      </c>
      <c r="P114" s="29" t="s">
        <v>70</v>
      </c>
      <c r="Q114" s="29"/>
      <c r="S114" s="7" t="s">
        <v>212</v>
      </c>
      <c r="T114" s="7" t="s">
        <v>72</v>
      </c>
      <c r="U114" s="7" t="s">
        <v>72</v>
      </c>
      <c r="V114" s="7" t="s">
        <v>72</v>
      </c>
      <c r="AA114" t="str">
        <f>VLOOKUP(C114,[1]Sheet1!$C:$U,18,0)</f>
        <v/>
      </c>
    </row>
    <row r="115" spans="1:27" x14ac:dyDescent="0.3">
      <c r="A115" s="37" t="s">
        <v>182</v>
      </c>
      <c r="B115" s="29" t="s">
        <v>125</v>
      </c>
      <c r="C115" s="29" t="s">
        <v>217</v>
      </c>
      <c r="D115" s="29" t="s">
        <v>67</v>
      </c>
      <c r="E115" s="29"/>
      <c r="F115" s="48">
        <v>45444</v>
      </c>
      <c r="G115" s="48">
        <v>45535</v>
      </c>
      <c r="H115" s="29">
        <v>2024</v>
      </c>
      <c r="I115" s="30">
        <v>2000000</v>
      </c>
      <c r="J115" s="26">
        <v>0</v>
      </c>
      <c r="K115" s="26">
        <f t="shared" si="28"/>
        <v>2000000</v>
      </c>
      <c r="L115" s="28">
        <v>2000000</v>
      </c>
      <c r="M115" s="27">
        <f t="shared" si="29"/>
        <v>0</v>
      </c>
      <c r="N115" s="36" t="s">
        <v>86</v>
      </c>
      <c r="O115" s="29" t="s">
        <v>87</v>
      </c>
      <c r="P115" s="29" t="s">
        <v>73</v>
      </c>
      <c r="Q115" s="29"/>
      <c r="S115" s="7" t="s">
        <v>212</v>
      </c>
      <c r="T115" s="7" t="s">
        <v>72</v>
      </c>
      <c r="U115" s="7" t="s">
        <v>72</v>
      </c>
      <c r="V115" s="7" t="s">
        <v>72</v>
      </c>
      <c r="AA115" t="str">
        <f>VLOOKUP(C115,[1]Sheet1!$C:$U,18,0)</f>
        <v/>
      </c>
    </row>
    <row r="116" spans="1:27" x14ac:dyDescent="0.3">
      <c r="A116" s="37" t="s">
        <v>182</v>
      </c>
      <c r="B116" s="29" t="s">
        <v>218</v>
      </c>
      <c r="C116" s="29" t="s">
        <v>219</v>
      </c>
      <c r="D116" s="29" t="s">
        <v>67</v>
      </c>
      <c r="E116" s="29"/>
      <c r="F116" s="48">
        <v>45444</v>
      </c>
      <c r="G116" s="48">
        <v>45535</v>
      </c>
      <c r="H116" s="29">
        <v>2024</v>
      </c>
      <c r="I116" s="30">
        <v>2000000</v>
      </c>
      <c r="J116" s="26">
        <v>0</v>
      </c>
      <c r="K116" s="26">
        <f t="shared" si="28"/>
        <v>2000000</v>
      </c>
      <c r="L116" s="28">
        <v>2000000</v>
      </c>
      <c r="M116" s="27">
        <f t="shared" si="29"/>
        <v>0</v>
      </c>
      <c r="N116" s="36" t="s">
        <v>68</v>
      </c>
      <c r="O116" s="29" t="s">
        <v>69</v>
      </c>
      <c r="P116" s="29" t="s">
        <v>70</v>
      </c>
      <c r="Q116" s="29"/>
      <c r="S116" s="7" t="s">
        <v>119</v>
      </c>
      <c r="T116" s="7" t="s">
        <v>72</v>
      </c>
      <c r="U116" s="7" t="s">
        <v>72</v>
      </c>
      <c r="V116" s="7" t="s">
        <v>72</v>
      </c>
      <c r="AA116" t="str">
        <f>VLOOKUP(C116,[1]Sheet1!$C:$U,18,0)</f>
        <v/>
      </c>
    </row>
    <row r="117" spans="1:27" x14ac:dyDescent="0.3">
      <c r="A117" s="37" t="s">
        <v>182</v>
      </c>
      <c r="B117" s="29" t="s">
        <v>218</v>
      </c>
      <c r="C117" s="29" t="s">
        <v>220</v>
      </c>
      <c r="D117" s="29" t="s">
        <v>67</v>
      </c>
      <c r="E117" s="29"/>
      <c r="F117" s="48">
        <v>45444</v>
      </c>
      <c r="G117" s="48">
        <v>45535</v>
      </c>
      <c r="H117" s="29">
        <v>2024</v>
      </c>
      <c r="I117" s="30">
        <v>1000000</v>
      </c>
      <c r="J117" s="26">
        <v>0</v>
      </c>
      <c r="K117" s="26">
        <f t="shared" ref="K117:K119" si="34">I117-J117</f>
        <v>1000000</v>
      </c>
      <c r="L117" s="28">
        <v>1000000</v>
      </c>
      <c r="M117" s="27">
        <f t="shared" si="29"/>
        <v>0</v>
      </c>
      <c r="N117" s="36" t="s">
        <v>68</v>
      </c>
      <c r="O117" s="29" t="s">
        <v>69</v>
      </c>
      <c r="P117" s="29" t="s">
        <v>70</v>
      </c>
      <c r="Q117" s="29"/>
      <c r="S117" s="7" t="s">
        <v>221</v>
      </c>
      <c r="T117" s="7" t="s">
        <v>72</v>
      </c>
      <c r="U117" s="7" t="s">
        <v>72</v>
      </c>
      <c r="V117" s="7" t="s">
        <v>72</v>
      </c>
    </row>
    <row r="118" spans="1:27" x14ac:dyDescent="0.3">
      <c r="A118" s="37" t="s">
        <v>182</v>
      </c>
      <c r="B118" s="29" t="s">
        <v>218</v>
      </c>
      <c r="C118" s="29" t="s">
        <v>219</v>
      </c>
      <c r="D118" s="29" t="s">
        <v>67</v>
      </c>
      <c r="E118" s="29"/>
      <c r="F118" s="48">
        <v>45444</v>
      </c>
      <c r="G118" s="48">
        <v>45535</v>
      </c>
      <c r="H118" s="29">
        <v>2024</v>
      </c>
      <c r="I118" s="30">
        <v>2978429</v>
      </c>
      <c r="J118" s="26">
        <v>0</v>
      </c>
      <c r="K118" s="26">
        <f t="shared" si="34"/>
        <v>2978429</v>
      </c>
      <c r="L118" s="28">
        <v>2978429</v>
      </c>
      <c r="M118" s="27">
        <f t="shared" si="29"/>
        <v>0</v>
      </c>
      <c r="N118" s="36" t="s">
        <v>68</v>
      </c>
      <c r="O118" s="29" t="s">
        <v>69</v>
      </c>
      <c r="P118" s="29" t="s">
        <v>73</v>
      </c>
      <c r="Q118" s="29"/>
      <c r="S118" s="7" t="s">
        <v>119</v>
      </c>
      <c r="T118" s="7" t="s">
        <v>72</v>
      </c>
      <c r="U118" s="7" t="s">
        <v>72</v>
      </c>
      <c r="V118" s="7" t="s">
        <v>72</v>
      </c>
      <c r="AA118" t="str">
        <f>VLOOKUP(C118,[1]Sheet1!$C:$U,18,0)</f>
        <v/>
      </c>
    </row>
    <row r="119" spans="1:27" x14ac:dyDescent="0.3">
      <c r="A119" s="37" t="s">
        <v>182</v>
      </c>
      <c r="B119" s="29" t="s">
        <v>218</v>
      </c>
      <c r="C119" s="29" t="s">
        <v>222</v>
      </c>
      <c r="D119" s="29" t="s">
        <v>67</v>
      </c>
      <c r="E119" s="29"/>
      <c r="F119" s="48">
        <v>45444</v>
      </c>
      <c r="G119" s="48">
        <v>45535</v>
      </c>
      <c r="H119" s="29">
        <v>2024</v>
      </c>
      <c r="I119" s="30">
        <v>1900000</v>
      </c>
      <c r="J119" s="26">
        <v>0</v>
      </c>
      <c r="K119" s="26">
        <f t="shared" si="34"/>
        <v>1900000</v>
      </c>
      <c r="L119" s="28">
        <v>1900000</v>
      </c>
      <c r="M119" s="27">
        <f t="shared" si="29"/>
        <v>0</v>
      </c>
      <c r="N119" s="36" t="s">
        <v>68</v>
      </c>
      <c r="O119" s="29" t="s">
        <v>69</v>
      </c>
      <c r="P119" s="29" t="s">
        <v>73</v>
      </c>
      <c r="Q119" s="29"/>
      <c r="S119" s="7" t="s">
        <v>130</v>
      </c>
      <c r="T119" s="7" t="s">
        <v>72</v>
      </c>
      <c r="U119" s="7" t="s">
        <v>72</v>
      </c>
      <c r="V119" s="7" t="s">
        <v>72</v>
      </c>
    </row>
    <row r="120" spans="1:27" x14ac:dyDescent="0.3">
      <c r="A120" s="37" t="s">
        <v>182</v>
      </c>
      <c r="B120" s="29" t="s">
        <v>218</v>
      </c>
      <c r="C120" s="29" t="s">
        <v>220</v>
      </c>
      <c r="D120" s="29" t="s">
        <v>67</v>
      </c>
      <c r="E120" s="29"/>
      <c r="F120" s="48">
        <v>45444</v>
      </c>
      <c r="G120" s="48">
        <v>45535</v>
      </c>
      <c r="H120" s="29">
        <v>2024</v>
      </c>
      <c r="I120" s="30">
        <v>121571</v>
      </c>
      <c r="J120" s="26">
        <v>0</v>
      </c>
      <c r="K120" s="26">
        <f t="shared" ref="K120" si="35">I120-J120</f>
        <v>121571</v>
      </c>
      <c r="L120" s="28">
        <v>121571</v>
      </c>
      <c r="M120" s="27">
        <f t="shared" si="29"/>
        <v>0</v>
      </c>
      <c r="N120" s="36" t="s">
        <v>68</v>
      </c>
      <c r="O120" s="29" t="s">
        <v>69</v>
      </c>
      <c r="P120" s="29" t="s">
        <v>73</v>
      </c>
      <c r="Q120" s="29"/>
      <c r="S120" s="7" t="s">
        <v>221</v>
      </c>
      <c r="T120" s="7" t="s">
        <v>72</v>
      </c>
      <c r="U120" s="7" t="s">
        <v>72</v>
      </c>
      <c r="V120" s="7" t="s">
        <v>72</v>
      </c>
    </row>
    <row r="121" spans="1:27" x14ac:dyDescent="0.3">
      <c r="A121" s="37" t="s">
        <v>182</v>
      </c>
      <c r="B121" s="29" t="s">
        <v>131</v>
      </c>
      <c r="C121" s="29" t="s">
        <v>223</v>
      </c>
      <c r="D121" s="29" t="s">
        <v>67</v>
      </c>
      <c r="E121" s="29"/>
      <c r="F121" s="48">
        <v>45473</v>
      </c>
      <c r="G121" s="48">
        <v>45565</v>
      </c>
      <c r="H121" s="29">
        <v>2024</v>
      </c>
      <c r="I121" s="30">
        <v>3000000</v>
      </c>
      <c r="J121" s="26">
        <v>0</v>
      </c>
      <c r="K121" s="26">
        <f t="shared" si="28"/>
        <v>3000000</v>
      </c>
      <c r="L121" s="28">
        <v>3000000</v>
      </c>
      <c r="M121" s="27">
        <f t="shared" si="29"/>
        <v>0</v>
      </c>
      <c r="N121" s="36" t="s">
        <v>68</v>
      </c>
      <c r="O121" s="29" t="s">
        <v>69</v>
      </c>
      <c r="P121" s="29" t="s">
        <v>73</v>
      </c>
      <c r="Q121" s="29"/>
      <c r="S121" s="7" t="s">
        <v>221</v>
      </c>
      <c r="T121" s="7" t="s">
        <v>72</v>
      </c>
      <c r="U121" s="7" t="s">
        <v>72</v>
      </c>
      <c r="V121" s="7" t="s">
        <v>72</v>
      </c>
      <c r="AA121" t="str">
        <f>VLOOKUP(C121,[1]Sheet1!$C:$U,18,0)</f>
        <v/>
      </c>
    </row>
    <row r="122" spans="1:27" x14ac:dyDescent="0.3">
      <c r="A122" s="37" t="s">
        <v>182</v>
      </c>
      <c r="B122" s="29" t="s">
        <v>131</v>
      </c>
      <c r="C122" s="29" t="s">
        <v>223</v>
      </c>
      <c r="D122" s="29" t="s">
        <v>67</v>
      </c>
      <c r="E122" s="29"/>
      <c r="F122" s="48">
        <v>45473</v>
      </c>
      <c r="G122" s="48">
        <v>45565</v>
      </c>
      <c r="H122" s="29">
        <v>2024</v>
      </c>
      <c r="I122" s="30">
        <v>2500000</v>
      </c>
      <c r="J122" s="26">
        <v>0</v>
      </c>
      <c r="K122" s="26">
        <f t="shared" si="28"/>
        <v>2500000</v>
      </c>
      <c r="L122" s="28">
        <v>2500000</v>
      </c>
      <c r="M122" s="27">
        <f t="shared" si="29"/>
        <v>0</v>
      </c>
      <c r="N122" s="36" t="s">
        <v>68</v>
      </c>
      <c r="O122" s="29" t="s">
        <v>69</v>
      </c>
      <c r="P122" s="29" t="s">
        <v>77</v>
      </c>
      <c r="Q122" s="29"/>
      <c r="S122" s="7" t="s">
        <v>221</v>
      </c>
      <c r="T122" s="7" t="s">
        <v>72</v>
      </c>
      <c r="U122" s="7" t="s">
        <v>72</v>
      </c>
      <c r="V122" s="7" t="s">
        <v>72</v>
      </c>
      <c r="AA122" t="str">
        <f>VLOOKUP(C122,[1]Sheet1!$C:$U,18,0)</f>
        <v/>
      </c>
    </row>
    <row r="123" spans="1:27" x14ac:dyDescent="0.3">
      <c r="A123" s="37" t="s">
        <v>182</v>
      </c>
      <c r="B123" s="29" t="s">
        <v>135</v>
      </c>
      <c r="C123" s="29" t="s">
        <v>224</v>
      </c>
      <c r="D123" s="29" t="s">
        <v>67</v>
      </c>
      <c r="E123" s="29"/>
      <c r="F123" s="48">
        <v>45473</v>
      </c>
      <c r="G123" s="48">
        <v>45565</v>
      </c>
      <c r="H123" s="29">
        <v>2024</v>
      </c>
      <c r="I123" s="30">
        <v>1378430</v>
      </c>
      <c r="J123" s="26">
        <v>0</v>
      </c>
      <c r="K123" s="26">
        <f t="shared" si="28"/>
        <v>1378430</v>
      </c>
      <c r="L123" s="28">
        <v>1378430</v>
      </c>
      <c r="M123" s="27">
        <f t="shared" ref="M123:M158" si="36">K123-L123</f>
        <v>0</v>
      </c>
      <c r="N123" s="36" t="s">
        <v>68</v>
      </c>
      <c r="O123" s="29" t="s">
        <v>69</v>
      </c>
      <c r="P123" s="29" t="s">
        <v>73</v>
      </c>
      <c r="Q123" s="29"/>
      <c r="S123" s="7" t="s">
        <v>221</v>
      </c>
      <c r="T123" s="7" t="s">
        <v>72</v>
      </c>
      <c r="U123" s="7" t="s">
        <v>72</v>
      </c>
      <c r="V123" s="7" t="s">
        <v>72</v>
      </c>
      <c r="AA123" t="str">
        <f>VLOOKUP(C123,[1]Sheet1!$C:$U,18,0)</f>
        <v/>
      </c>
    </row>
    <row r="124" spans="1:27" x14ac:dyDescent="0.3">
      <c r="A124" s="37" t="s">
        <v>182</v>
      </c>
      <c r="B124" s="29" t="s">
        <v>135</v>
      </c>
      <c r="C124" s="29" t="s">
        <v>224</v>
      </c>
      <c r="D124" s="29" t="s">
        <v>67</v>
      </c>
      <c r="E124" s="29"/>
      <c r="F124" s="48">
        <v>45473</v>
      </c>
      <c r="G124" s="48">
        <v>45565</v>
      </c>
      <c r="H124" s="29">
        <v>2024</v>
      </c>
      <c r="I124" s="30">
        <v>2621570</v>
      </c>
      <c r="J124" s="26">
        <v>0</v>
      </c>
      <c r="K124" s="26">
        <v>0</v>
      </c>
      <c r="L124" s="28">
        <v>0</v>
      </c>
      <c r="M124" s="27">
        <f t="shared" si="36"/>
        <v>0</v>
      </c>
      <c r="N124" s="36" t="s">
        <v>68</v>
      </c>
      <c r="O124" s="29" t="s">
        <v>69</v>
      </c>
      <c r="P124" s="29" t="s">
        <v>73</v>
      </c>
      <c r="Q124" s="29"/>
      <c r="S124" s="7" t="s">
        <v>221</v>
      </c>
      <c r="T124" s="7" t="s">
        <v>72</v>
      </c>
      <c r="U124" s="7" t="s">
        <v>72</v>
      </c>
      <c r="V124" s="7" t="s">
        <v>72</v>
      </c>
    </row>
    <row r="125" spans="1:27" x14ac:dyDescent="0.3">
      <c r="A125" s="37" t="s">
        <v>182</v>
      </c>
      <c r="B125" s="29" t="s">
        <v>135</v>
      </c>
      <c r="C125" s="29" t="s">
        <v>224</v>
      </c>
      <c r="D125" s="29" t="s">
        <v>67</v>
      </c>
      <c r="E125" s="29"/>
      <c r="F125" s="48">
        <v>45473</v>
      </c>
      <c r="G125" s="48">
        <v>45565</v>
      </c>
      <c r="H125" s="29">
        <v>2024</v>
      </c>
      <c r="I125" s="30">
        <v>4000000</v>
      </c>
      <c r="J125" s="26">
        <v>0</v>
      </c>
      <c r="K125" s="26">
        <f t="shared" si="28"/>
        <v>4000000</v>
      </c>
      <c r="L125" s="28">
        <v>0</v>
      </c>
      <c r="M125" s="27">
        <v>0</v>
      </c>
      <c r="N125" s="36" t="s">
        <v>68</v>
      </c>
      <c r="O125" s="29" t="s">
        <v>69</v>
      </c>
      <c r="P125" s="29" t="s">
        <v>77</v>
      </c>
      <c r="Q125" s="29"/>
      <c r="S125" s="7" t="s">
        <v>221</v>
      </c>
      <c r="T125" s="7" t="s">
        <v>72</v>
      </c>
      <c r="U125" s="7" t="s">
        <v>72</v>
      </c>
      <c r="V125" s="7" t="s">
        <v>72</v>
      </c>
      <c r="AA125" t="str">
        <f>VLOOKUP(C125,[1]Sheet1!$C:$U,18,0)</f>
        <v/>
      </c>
    </row>
    <row r="126" spans="1:27" x14ac:dyDescent="0.3">
      <c r="A126" s="37" t="s">
        <v>182</v>
      </c>
      <c r="B126" s="29" t="s">
        <v>225</v>
      </c>
      <c r="C126" s="29" t="s">
        <v>226</v>
      </c>
      <c r="D126" s="29" t="s">
        <v>94</v>
      </c>
      <c r="E126" s="29"/>
      <c r="F126" s="48">
        <v>45485</v>
      </c>
      <c r="G126" s="48">
        <v>45565</v>
      </c>
      <c r="H126" s="29">
        <v>2024</v>
      </c>
      <c r="I126" s="30">
        <v>3000000</v>
      </c>
      <c r="J126" s="26">
        <v>0</v>
      </c>
      <c r="K126" s="26">
        <f t="shared" si="28"/>
        <v>3000000</v>
      </c>
      <c r="L126" s="28">
        <v>3000000</v>
      </c>
      <c r="M126" s="27">
        <f t="shared" si="36"/>
        <v>0</v>
      </c>
      <c r="N126" s="36" t="s">
        <v>95</v>
      </c>
      <c r="O126" s="29" t="s">
        <v>96</v>
      </c>
      <c r="P126" s="29" t="s">
        <v>73</v>
      </c>
      <c r="Q126" s="29"/>
      <c r="S126" s="7" t="s">
        <v>227</v>
      </c>
      <c r="T126" s="7" t="s">
        <v>228</v>
      </c>
      <c r="U126" s="7" t="s">
        <v>228</v>
      </c>
      <c r="V126" s="7" t="s">
        <v>228</v>
      </c>
      <c r="AA126" t="str">
        <f>VLOOKUP(C126,[1]Sheet1!$C:$U,18,0)</f>
        <v/>
      </c>
    </row>
    <row r="127" spans="1:27" x14ac:dyDescent="0.3">
      <c r="A127" s="37" t="s">
        <v>182</v>
      </c>
      <c r="B127" s="29" t="s">
        <v>225</v>
      </c>
      <c r="C127" s="29" t="s">
        <v>226</v>
      </c>
      <c r="D127" s="29" t="s">
        <v>94</v>
      </c>
      <c r="E127" s="29"/>
      <c r="F127" s="48">
        <v>45485</v>
      </c>
      <c r="G127" s="48">
        <v>45565</v>
      </c>
      <c r="H127" s="29">
        <v>2024</v>
      </c>
      <c r="I127" s="30">
        <v>2000000</v>
      </c>
      <c r="J127" s="26">
        <v>0</v>
      </c>
      <c r="K127" s="26">
        <f t="shared" si="28"/>
        <v>2000000</v>
      </c>
      <c r="L127" s="28">
        <v>2000000</v>
      </c>
      <c r="M127" s="27">
        <f t="shared" si="36"/>
        <v>0</v>
      </c>
      <c r="N127" s="36" t="s">
        <v>95</v>
      </c>
      <c r="O127" s="29" t="s">
        <v>96</v>
      </c>
      <c r="P127" s="29" t="s">
        <v>70</v>
      </c>
      <c r="Q127" s="29"/>
      <c r="S127" s="7" t="s">
        <v>227</v>
      </c>
      <c r="T127" s="7" t="s">
        <v>228</v>
      </c>
      <c r="U127" s="7" t="s">
        <v>228</v>
      </c>
      <c r="V127" s="7" t="s">
        <v>228</v>
      </c>
      <c r="AA127" t="str">
        <f>VLOOKUP(C127,[1]Sheet1!$C:$U,18,0)</f>
        <v/>
      </c>
    </row>
    <row r="128" spans="1:27" x14ac:dyDescent="0.3">
      <c r="A128" s="37" t="s">
        <v>182</v>
      </c>
      <c r="B128" s="29" t="s">
        <v>229</v>
      </c>
      <c r="C128" s="29" t="s">
        <v>230</v>
      </c>
      <c r="D128" s="29" t="s">
        <v>67</v>
      </c>
      <c r="E128" s="29"/>
      <c r="F128" s="48">
        <v>45485</v>
      </c>
      <c r="G128" s="48">
        <v>45565</v>
      </c>
      <c r="H128" s="29">
        <v>2024</v>
      </c>
      <c r="I128" s="30">
        <v>903956</v>
      </c>
      <c r="J128" s="26">
        <v>0</v>
      </c>
      <c r="K128" s="26">
        <f t="shared" si="28"/>
        <v>903956</v>
      </c>
      <c r="L128" s="28">
        <v>903956</v>
      </c>
      <c r="M128" s="27">
        <f t="shared" si="36"/>
        <v>0</v>
      </c>
      <c r="N128" s="36" t="s">
        <v>86</v>
      </c>
      <c r="O128" s="29" t="s">
        <v>87</v>
      </c>
      <c r="P128" s="29" t="s">
        <v>70</v>
      </c>
      <c r="Q128" s="29"/>
      <c r="S128" s="7" t="s">
        <v>227</v>
      </c>
      <c r="T128" s="7" t="s">
        <v>72</v>
      </c>
      <c r="U128" s="7" t="s">
        <v>72</v>
      </c>
      <c r="V128" s="7" t="s">
        <v>72</v>
      </c>
      <c r="AA128" t="str">
        <f>VLOOKUP(C128,[1]Sheet1!$C:$U,18,0)</f>
        <v/>
      </c>
    </row>
    <row r="129" spans="1:27" x14ac:dyDescent="0.3">
      <c r="A129" s="37" t="s">
        <v>182</v>
      </c>
      <c r="B129" s="29" t="s">
        <v>229</v>
      </c>
      <c r="C129" s="29" t="s">
        <v>231</v>
      </c>
      <c r="D129" s="29" t="s">
        <v>67</v>
      </c>
      <c r="E129" s="29"/>
      <c r="F129" s="48">
        <v>45485</v>
      </c>
      <c r="G129" s="48">
        <v>45565</v>
      </c>
      <c r="H129" s="29">
        <v>2024</v>
      </c>
      <c r="I129" s="30">
        <v>1096044</v>
      </c>
      <c r="J129" s="26">
        <v>0</v>
      </c>
      <c r="K129" s="26">
        <f t="shared" ref="K129:K131" si="37">I129-J129</f>
        <v>1096044</v>
      </c>
      <c r="L129" s="28">
        <v>1096044</v>
      </c>
      <c r="M129" s="27">
        <f t="shared" si="36"/>
        <v>0</v>
      </c>
      <c r="N129" s="36" t="s">
        <v>86</v>
      </c>
      <c r="O129" s="29" t="s">
        <v>87</v>
      </c>
      <c r="P129" s="29" t="s">
        <v>70</v>
      </c>
      <c r="Q129" s="29"/>
      <c r="S129" s="7" t="s">
        <v>232</v>
      </c>
      <c r="T129" s="7" t="s">
        <v>72</v>
      </c>
      <c r="U129" s="7" t="s">
        <v>72</v>
      </c>
      <c r="V129" s="7" t="s">
        <v>72</v>
      </c>
    </row>
    <row r="130" spans="1:27" x14ac:dyDescent="0.3">
      <c r="A130" s="37" t="s">
        <v>182</v>
      </c>
      <c r="B130" s="29" t="s">
        <v>229</v>
      </c>
      <c r="C130" s="29" t="s">
        <v>230</v>
      </c>
      <c r="D130" s="29" t="s">
        <v>67</v>
      </c>
      <c r="E130" s="29"/>
      <c r="F130" s="48">
        <v>45485</v>
      </c>
      <c r="G130" s="48">
        <v>45565</v>
      </c>
      <c r="H130" s="29">
        <v>2024</v>
      </c>
      <c r="I130" s="30">
        <v>1000000</v>
      </c>
      <c r="J130" s="26">
        <v>0</v>
      </c>
      <c r="K130" s="26">
        <f t="shared" si="37"/>
        <v>1000000</v>
      </c>
      <c r="L130" s="28">
        <v>1000000</v>
      </c>
      <c r="M130" s="27">
        <f t="shared" si="36"/>
        <v>0</v>
      </c>
      <c r="N130" s="36" t="s">
        <v>86</v>
      </c>
      <c r="O130" s="29" t="s">
        <v>87</v>
      </c>
      <c r="P130" s="29" t="s">
        <v>73</v>
      </c>
      <c r="Q130" s="29"/>
      <c r="S130" s="7" t="s">
        <v>212</v>
      </c>
      <c r="T130" s="7" t="s">
        <v>72</v>
      </c>
      <c r="U130" s="7" t="s">
        <v>72</v>
      </c>
      <c r="V130" s="7" t="s">
        <v>72</v>
      </c>
      <c r="AA130" t="str">
        <f>VLOOKUP(C130,[1]Sheet1!$C:$U,18,0)</f>
        <v/>
      </c>
    </row>
    <row r="131" spans="1:27" x14ac:dyDescent="0.3">
      <c r="A131" s="37" t="s">
        <v>182</v>
      </c>
      <c r="B131" s="29" t="s">
        <v>229</v>
      </c>
      <c r="C131" s="29" t="s">
        <v>231</v>
      </c>
      <c r="D131" s="29" t="s">
        <v>67</v>
      </c>
      <c r="E131" s="29"/>
      <c r="F131" s="48">
        <v>45485</v>
      </c>
      <c r="G131" s="48">
        <v>45565</v>
      </c>
      <c r="H131" s="29">
        <v>2024</v>
      </c>
      <c r="I131" s="30">
        <v>2000000</v>
      </c>
      <c r="J131" s="26">
        <v>0</v>
      </c>
      <c r="K131" s="26">
        <f t="shared" si="37"/>
        <v>2000000</v>
      </c>
      <c r="L131" s="28">
        <v>2000000</v>
      </c>
      <c r="M131" s="27">
        <f t="shared" si="36"/>
        <v>0</v>
      </c>
      <c r="N131" s="36" t="s">
        <v>86</v>
      </c>
      <c r="O131" s="29" t="s">
        <v>87</v>
      </c>
      <c r="P131" s="29" t="s">
        <v>73</v>
      </c>
      <c r="Q131" s="29"/>
      <c r="S131" s="7" t="s">
        <v>232</v>
      </c>
      <c r="T131" s="7" t="s">
        <v>72</v>
      </c>
      <c r="U131" s="7" t="s">
        <v>72</v>
      </c>
      <c r="V131" s="7" t="s">
        <v>72</v>
      </c>
    </row>
    <row r="132" spans="1:27" x14ac:dyDescent="0.3">
      <c r="A132" s="37" t="s">
        <v>182</v>
      </c>
      <c r="B132" s="29" t="s">
        <v>233</v>
      </c>
      <c r="C132" s="29" t="s">
        <v>234</v>
      </c>
      <c r="D132" s="29" t="s">
        <v>67</v>
      </c>
      <c r="E132" s="29"/>
      <c r="F132" s="48">
        <v>45485</v>
      </c>
      <c r="G132" s="48">
        <v>45565</v>
      </c>
      <c r="H132" s="29">
        <v>2024</v>
      </c>
      <c r="I132" s="30">
        <v>2000000</v>
      </c>
      <c r="J132" s="26">
        <v>0</v>
      </c>
      <c r="K132" s="26">
        <f t="shared" si="28"/>
        <v>2000000</v>
      </c>
      <c r="L132" s="28">
        <v>2000000</v>
      </c>
      <c r="M132" s="27">
        <f t="shared" si="36"/>
        <v>0</v>
      </c>
      <c r="N132" s="36" t="s">
        <v>68</v>
      </c>
      <c r="O132" s="29" t="s">
        <v>69</v>
      </c>
      <c r="P132" s="29" t="s">
        <v>70</v>
      </c>
      <c r="Q132" s="29"/>
      <c r="S132" s="7" t="s">
        <v>221</v>
      </c>
      <c r="T132" s="7" t="s">
        <v>72</v>
      </c>
      <c r="U132" s="7" t="s">
        <v>72</v>
      </c>
      <c r="V132" s="7" t="s">
        <v>72</v>
      </c>
      <c r="AA132" t="str">
        <f>VLOOKUP(C132,[1]Sheet1!$C:$U,18,0)</f>
        <v/>
      </c>
    </row>
    <row r="133" spans="1:27" x14ac:dyDescent="0.3">
      <c r="A133" s="37" t="s">
        <v>182</v>
      </c>
      <c r="B133" s="29" t="s">
        <v>233</v>
      </c>
      <c r="C133" s="29" t="s">
        <v>234</v>
      </c>
      <c r="D133" s="29" t="s">
        <v>67</v>
      </c>
      <c r="E133" s="29"/>
      <c r="F133" s="48">
        <v>45485</v>
      </c>
      <c r="G133" s="48">
        <v>45565</v>
      </c>
      <c r="H133" s="29">
        <v>2024</v>
      </c>
      <c r="I133" s="30">
        <v>5000000</v>
      </c>
      <c r="J133" s="26">
        <v>0</v>
      </c>
      <c r="K133" s="26">
        <f t="shared" si="28"/>
        <v>5000000</v>
      </c>
      <c r="L133" s="28">
        <v>5000000</v>
      </c>
      <c r="M133" s="27">
        <f t="shared" si="36"/>
        <v>0</v>
      </c>
      <c r="N133" s="36" t="s">
        <v>68</v>
      </c>
      <c r="O133" s="29" t="s">
        <v>69</v>
      </c>
      <c r="P133" s="29" t="s">
        <v>73</v>
      </c>
      <c r="Q133" s="29"/>
      <c r="S133" s="7" t="s">
        <v>221</v>
      </c>
      <c r="T133" s="7" t="s">
        <v>72</v>
      </c>
      <c r="U133" s="7" t="s">
        <v>72</v>
      </c>
      <c r="V133" s="7" t="s">
        <v>72</v>
      </c>
      <c r="AA133" t="str">
        <f>VLOOKUP(C133,[1]Sheet1!$C:$U,18,0)</f>
        <v/>
      </c>
    </row>
    <row r="134" spans="1:27" x14ac:dyDescent="0.3">
      <c r="A134" s="37" t="s">
        <v>182</v>
      </c>
      <c r="B134" s="29" t="s">
        <v>235</v>
      </c>
      <c r="C134" s="29" t="s">
        <v>236</v>
      </c>
      <c r="D134" s="29" t="s">
        <v>94</v>
      </c>
      <c r="E134" s="29"/>
      <c r="F134" s="48">
        <v>45513</v>
      </c>
      <c r="G134" s="48">
        <v>45626</v>
      </c>
      <c r="H134" s="29">
        <v>2024</v>
      </c>
      <c r="I134" s="30">
        <v>428016</v>
      </c>
      <c r="J134" s="26">
        <v>0</v>
      </c>
      <c r="K134" s="26">
        <f t="shared" si="28"/>
        <v>428016</v>
      </c>
      <c r="L134" s="28">
        <v>428016</v>
      </c>
      <c r="M134" s="27">
        <f t="shared" si="36"/>
        <v>0</v>
      </c>
      <c r="N134" s="36" t="s">
        <v>86</v>
      </c>
      <c r="O134" s="29" t="s">
        <v>87</v>
      </c>
      <c r="P134" s="29" t="s">
        <v>70</v>
      </c>
      <c r="Q134" s="29"/>
      <c r="S134" s="7" t="s">
        <v>232</v>
      </c>
      <c r="T134" s="7" t="s">
        <v>72</v>
      </c>
      <c r="U134" s="7" t="s">
        <v>72</v>
      </c>
      <c r="V134" s="7"/>
      <c r="AA134" t="str">
        <f>VLOOKUP(C134,[1]Sheet1!$C:$U,18,0)</f>
        <v/>
      </c>
    </row>
    <row r="135" spans="1:27" x14ac:dyDescent="0.3">
      <c r="A135" s="37" t="s">
        <v>182</v>
      </c>
      <c r="B135" s="29" t="s">
        <v>235</v>
      </c>
      <c r="C135" s="29" t="s">
        <v>237</v>
      </c>
      <c r="D135" s="29" t="s">
        <v>94</v>
      </c>
      <c r="E135" s="29"/>
      <c r="F135" s="48">
        <v>45485</v>
      </c>
      <c r="G135" s="48">
        <v>45565</v>
      </c>
      <c r="H135" s="29">
        <v>2024</v>
      </c>
      <c r="I135" s="30">
        <v>4071984</v>
      </c>
      <c r="J135" s="26">
        <v>0</v>
      </c>
      <c r="K135" s="26">
        <f t="shared" ref="K135" si="38">I135-J135</f>
        <v>4071984</v>
      </c>
      <c r="L135" s="28">
        <v>4071984</v>
      </c>
      <c r="M135" s="27">
        <f t="shared" si="36"/>
        <v>0</v>
      </c>
      <c r="N135" s="36" t="s">
        <v>86</v>
      </c>
      <c r="O135" s="29" t="s">
        <v>87</v>
      </c>
      <c r="P135" s="29" t="s">
        <v>70</v>
      </c>
      <c r="Q135" s="29"/>
      <c r="R135" t="s">
        <v>106</v>
      </c>
      <c r="S135" s="7" t="s">
        <v>238</v>
      </c>
      <c r="T135" s="7" t="s">
        <v>72</v>
      </c>
      <c r="U135" s="7" t="s">
        <v>72</v>
      </c>
      <c r="V135" s="7" t="s">
        <v>228</v>
      </c>
    </row>
    <row r="136" spans="1:27" x14ac:dyDescent="0.3">
      <c r="A136" s="37" t="s">
        <v>182</v>
      </c>
      <c r="B136" s="29" t="s">
        <v>235</v>
      </c>
      <c r="C136" s="29" t="s">
        <v>236</v>
      </c>
      <c r="D136" s="29" t="s">
        <v>94</v>
      </c>
      <c r="E136" s="29"/>
      <c r="F136" s="48">
        <v>45513</v>
      </c>
      <c r="G136" s="48">
        <v>45626</v>
      </c>
      <c r="H136" s="29">
        <v>2024</v>
      </c>
      <c r="I136" s="30">
        <v>1000000</v>
      </c>
      <c r="J136" s="26">
        <v>0</v>
      </c>
      <c r="K136" s="26">
        <f t="shared" si="28"/>
        <v>1000000</v>
      </c>
      <c r="L136" s="28">
        <v>1000000</v>
      </c>
      <c r="M136" s="27">
        <f t="shared" si="36"/>
        <v>0</v>
      </c>
      <c r="N136" s="36" t="s">
        <v>86</v>
      </c>
      <c r="O136" s="29" t="s">
        <v>87</v>
      </c>
      <c r="P136" s="29" t="s">
        <v>73</v>
      </c>
      <c r="Q136" s="29"/>
      <c r="S136" s="7" t="s">
        <v>232</v>
      </c>
      <c r="T136" s="7" t="s">
        <v>72</v>
      </c>
      <c r="U136" s="7" t="s">
        <v>72</v>
      </c>
      <c r="V136" s="7"/>
      <c r="AA136" t="str">
        <f>VLOOKUP(C136,[1]Sheet1!$C:$U,18,0)</f>
        <v/>
      </c>
    </row>
    <row r="137" spans="1:27" x14ac:dyDescent="0.3">
      <c r="A137" s="37" t="s">
        <v>182</v>
      </c>
      <c r="B137" s="29" t="s">
        <v>235</v>
      </c>
      <c r="C137" s="29" t="s">
        <v>237</v>
      </c>
      <c r="D137" s="29" t="s">
        <v>94</v>
      </c>
      <c r="E137" s="29"/>
      <c r="F137" s="48">
        <v>45485</v>
      </c>
      <c r="G137" s="48">
        <v>45565</v>
      </c>
      <c r="H137" s="29">
        <v>2024</v>
      </c>
      <c r="I137" s="30">
        <v>4500000</v>
      </c>
      <c r="J137" s="26">
        <v>0</v>
      </c>
      <c r="K137" s="26">
        <f t="shared" ref="K137" si="39">I137-J137</f>
        <v>4500000</v>
      </c>
      <c r="L137" s="28">
        <v>4500000</v>
      </c>
      <c r="M137" s="27">
        <f t="shared" si="36"/>
        <v>0</v>
      </c>
      <c r="N137" s="36" t="s">
        <v>86</v>
      </c>
      <c r="O137" s="29" t="s">
        <v>87</v>
      </c>
      <c r="P137" s="29" t="s">
        <v>73</v>
      </c>
      <c r="Q137" s="29"/>
      <c r="R137" t="s">
        <v>106</v>
      </c>
      <c r="S137" s="7" t="s">
        <v>238</v>
      </c>
      <c r="T137" s="7" t="s">
        <v>72</v>
      </c>
      <c r="U137" s="7" t="s">
        <v>72</v>
      </c>
      <c r="V137" s="7" t="s">
        <v>228</v>
      </c>
    </row>
    <row r="138" spans="1:27" x14ac:dyDescent="0.3">
      <c r="A138" s="37" t="s">
        <v>182</v>
      </c>
      <c r="B138" s="29" t="s">
        <v>239</v>
      </c>
      <c r="C138" s="29" t="s">
        <v>240</v>
      </c>
      <c r="D138" s="29" t="s">
        <v>94</v>
      </c>
      <c r="E138" s="29"/>
      <c r="F138" s="48">
        <v>45513</v>
      </c>
      <c r="G138" s="48">
        <v>45626</v>
      </c>
      <c r="H138" s="29">
        <v>2024</v>
      </c>
      <c r="I138" s="30">
        <v>3000000</v>
      </c>
      <c r="J138" s="26">
        <v>0</v>
      </c>
      <c r="K138" s="26">
        <f t="shared" si="28"/>
        <v>3000000</v>
      </c>
      <c r="L138" s="28">
        <v>3000000</v>
      </c>
      <c r="M138" s="27">
        <f t="shared" si="36"/>
        <v>0</v>
      </c>
      <c r="N138" s="36" t="s">
        <v>68</v>
      </c>
      <c r="O138" s="29" t="s">
        <v>69</v>
      </c>
      <c r="P138" s="29" t="s">
        <v>70</v>
      </c>
      <c r="Q138" s="29"/>
      <c r="S138" s="7" t="s">
        <v>241</v>
      </c>
      <c r="T138" s="7" t="s">
        <v>72</v>
      </c>
      <c r="U138" s="7" t="s">
        <v>72</v>
      </c>
      <c r="V138" s="7"/>
      <c r="AA138" t="str">
        <f>VLOOKUP(C138,[1]Sheet1!$C:$U,18,0)</f>
        <v/>
      </c>
    </row>
    <row r="139" spans="1:27" x14ac:dyDescent="0.3">
      <c r="A139" s="37" t="s">
        <v>182</v>
      </c>
      <c r="B139" s="29" t="s">
        <v>239</v>
      </c>
      <c r="C139" s="29" t="s">
        <v>240</v>
      </c>
      <c r="D139" s="29" t="s">
        <v>94</v>
      </c>
      <c r="E139" s="29"/>
      <c r="F139" s="48">
        <v>45513</v>
      </c>
      <c r="G139" s="48">
        <v>45626</v>
      </c>
      <c r="H139" s="29">
        <v>2024</v>
      </c>
      <c r="I139" s="30">
        <v>2000000</v>
      </c>
      <c r="J139" s="26">
        <v>0</v>
      </c>
      <c r="K139" s="26">
        <f t="shared" ref="K139:K141" si="40">I139-J139</f>
        <v>2000000</v>
      </c>
      <c r="L139" s="28">
        <v>2000000</v>
      </c>
      <c r="M139" s="27">
        <f t="shared" si="36"/>
        <v>0</v>
      </c>
      <c r="N139" s="36" t="s">
        <v>68</v>
      </c>
      <c r="O139" s="29" t="s">
        <v>69</v>
      </c>
      <c r="P139" s="29" t="s">
        <v>70</v>
      </c>
      <c r="Q139" s="29" t="s">
        <v>242</v>
      </c>
      <c r="R139" s="29" t="s">
        <v>243</v>
      </c>
      <c r="S139" s="7" t="s">
        <v>244</v>
      </c>
      <c r="T139" s="7" t="s">
        <v>72</v>
      </c>
      <c r="U139" s="7" t="s">
        <v>228</v>
      </c>
      <c r="V139" s="7" t="s">
        <v>228</v>
      </c>
    </row>
    <row r="140" spans="1:27" x14ac:dyDescent="0.3">
      <c r="A140" s="37" t="s">
        <v>182</v>
      </c>
      <c r="B140" s="29" t="s">
        <v>239</v>
      </c>
      <c r="C140" s="29" t="s">
        <v>240</v>
      </c>
      <c r="D140" s="29" t="s">
        <v>94</v>
      </c>
      <c r="E140" s="29"/>
      <c r="F140" s="48">
        <v>45513</v>
      </c>
      <c r="G140" s="48">
        <v>45626</v>
      </c>
      <c r="H140" s="29">
        <v>2024</v>
      </c>
      <c r="I140" s="30">
        <v>5000000</v>
      </c>
      <c r="J140" s="26">
        <v>0</v>
      </c>
      <c r="K140" s="26">
        <f t="shared" si="40"/>
        <v>5000000</v>
      </c>
      <c r="L140" s="28">
        <v>5000000</v>
      </c>
      <c r="M140" s="27">
        <f t="shared" si="36"/>
        <v>0</v>
      </c>
      <c r="N140" s="36" t="s">
        <v>68</v>
      </c>
      <c r="O140" s="29" t="s">
        <v>69</v>
      </c>
      <c r="P140" s="29" t="s">
        <v>73</v>
      </c>
      <c r="Q140" s="29"/>
      <c r="S140" s="7" t="s">
        <v>241</v>
      </c>
      <c r="T140" s="7" t="s">
        <v>72</v>
      </c>
      <c r="U140" s="7" t="s">
        <v>72</v>
      </c>
      <c r="V140" s="7"/>
      <c r="AA140" t="str">
        <f>VLOOKUP(C140,[1]Sheet1!$C:$U,18,0)</f>
        <v/>
      </c>
    </row>
    <row r="141" spans="1:27" x14ac:dyDescent="0.3">
      <c r="A141" s="37" t="s">
        <v>182</v>
      </c>
      <c r="B141" s="29" t="s">
        <v>239</v>
      </c>
      <c r="C141" s="29" t="s">
        <v>240</v>
      </c>
      <c r="D141" s="29" t="s">
        <v>94</v>
      </c>
      <c r="E141" s="29"/>
      <c r="F141" s="48">
        <v>45513</v>
      </c>
      <c r="G141" s="48">
        <v>45626</v>
      </c>
      <c r="H141" s="29">
        <v>2024</v>
      </c>
      <c r="I141" s="30">
        <v>2000000</v>
      </c>
      <c r="J141" s="26">
        <v>0</v>
      </c>
      <c r="K141" s="26">
        <f t="shared" si="40"/>
        <v>2000000</v>
      </c>
      <c r="L141" s="28">
        <v>2000000</v>
      </c>
      <c r="M141" s="27">
        <f t="shared" si="36"/>
        <v>0</v>
      </c>
      <c r="N141" s="36" t="s">
        <v>68</v>
      </c>
      <c r="O141" s="29" t="s">
        <v>69</v>
      </c>
      <c r="P141" s="29" t="s">
        <v>73</v>
      </c>
      <c r="Q141" s="29" t="s">
        <v>242</v>
      </c>
      <c r="R141" s="29" t="s">
        <v>243</v>
      </c>
      <c r="S141" s="7" t="s">
        <v>244</v>
      </c>
      <c r="T141" s="7" t="s">
        <v>72</v>
      </c>
      <c r="U141" s="7" t="s">
        <v>228</v>
      </c>
      <c r="V141" s="7" t="s">
        <v>228</v>
      </c>
    </row>
    <row r="142" spans="1:27" x14ac:dyDescent="0.3">
      <c r="A142" s="37" t="s">
        <v>182</v>
      </c>
      <c r="B142" s="29" t="s">
        <v>245</v>
      </c>
      <c r="C142" s="29" t="s">
        <v>246</v>
      </c>
      <c r="D142" s="29" t="s">
        <v>94</v>
      </c>
      <c r="E142" s="29"/>
      <c r="F142" s="48">
        <v>45516</v>
      </c>
      <c r="G142" s="48">
        <v>45657</v>
      </c>
      <c r="H142" s="29">
        <v>2024</v>
      </c>
      <c r="I142" s="30">
        <v>1492847</v>
      </c>
      <c r="J142" s="26">
        <v>0</v>
      </c>
      <c r="K142" s="26">
        <f t="shared" si="28"/>
        <v>1492847</v>
      </c>
      <c r="L142" s="28">
        <v>1492847</v>
      </c>
      <c r="M142" s="27">
        <f t="shared" si="36"/>
        <v>0</v>
      </c>
      <c r="N142" s="36" t="s">
        <v>95</v>
      </c>
      <c r="O142" s="29" t="s">
        <v>96</v>
      </c>
      <c r="P142" s="29" t="s">
        <v>73</v>
      </c>
      <c r="Q142" s="29"/>
      <c r="S142" s="7" t="s">
        <v>247</v>
      </c>
      <c r="T142" s="7" t="s">
        <v>72</v>
      </c>
      <c r="U142" s="7" t="s">
        <v>72</v>
      </c>
      <c r="V142" s="7"/>
      <c r="AA142" t="str">
        <f>VLOOKUP(C142,[1]Sheet1!$C:$U,18,0)</f>
        <v/>
      </c>
    </row>
    <row r="143" spans="1:27" x14ac:dyDescent="0.3">
      <c r="A143" s="37" t="s">
        <v>182</v>
      </c>
      <c r="B143" s="29" t="s">
        <v>245</v>
      </c>
      <c r="C143" s="29" t="s">
        <v>246</v>
      </c>
      <c r="D143" s="29" t="s">
        <v>94</v>
      </c>
      <c r="E143" s="29" t="s">
        <v>248</v>
      </c>
      <c r="F143" s="48">
        <v>45485</v>
      </c>
      <c r="G143" s="48">
        <v>45565</v>
      </c>
      <c r="H143" s="29">
        <v>2024</v>
      </c>
      <c r="I143" s="30">
        <v>2507153</v>
      </c>
      <c r="J143" s="26">
        <v>0</v>
      </c>
      <c r="K143" s="26">
        <f t="shared" ref="K143" si="41">I143-J143</f>
        <v>2507153</v>
      </c>
      <c r="L143" s="28">
        <v>2507153</v>
      </c>
      <c r="M143" s="27">
        <f t="shared" si="36"/>
        <v>0</v>
      </c>
      <c r="N143" s="36" t="s">
        <v>95</v>
      </c>
      <c r="O143" s="29" t="s">
        <v>96</v>
      </c>
      <c r="P143" s="29" t="s">
        <v>73</v>
      </c>
      <c r="Q143" s="29" t="s">
        <v>249</v>
      </c>
      <c r="R143" s="29" t="s">
        <v>243</v>
      </c>
      <c r="S143" s="7" t="s">
        <v>238</v>
      </c>
      <c r="T143" s="7" t="s">
        <v>72</v>
      </c>
      <c r="U143" s="7" t="s">
        <v>228</v>
      </c>
      <c r="V143" s="7" t="s">
        <v>228</v>
      </c>
    </row>
    <row r="144" spans="1:27" x14ac:dyDescent="0.3">
      <c r="A144" s="37" t="s">
        <v>182</v>
      </c>
      <c r="B144" s="29" t="s">
        <v>245</v>
      </c>
      <c r="C144" s="29" t="s">
        <v>246</v>
      </c>
      <c r="D144" s="29" t="s">
        <v>94</v>
      </c>
      <c r="E144" s="29" t="s">
        <v>248</v>
      </c>
      <c r="F144" s="48">
        <v>45516</v>
      </c>
      <c r="G144" s="48">
        <v>45657</v>
      </c>
      <c r="H144" s="29">
        <v>2024</v>
      </c>
      <c r="I144" s="30">
        <v>1500000</v>
      </c>
      <c r="J144" s="26">
        <v>0</v>
      </c>
      <c r="K144" s="26">
        <f t="shared" si="28"/>
        <v>1500000</v>
      </c>
      <c r="L144" s="28">
        <v>1500000</v>
      </c>
      <c r="M144" s="27">
        <f t="shared" si="36"/>
        <v>0</v>
      </c>
      <c r="N144" s="36" t="s">
        <v>95</v>
      </c>
      <c r="O144" s="29" t="s">
        <v>96</v>
      </c>
      <c r="P144" s="29" t="s">
        <v>70</v>
      </c>
      <c r="Q144" s="29" t="s">
        <v>250</v>
      </c>
      <c r="R144" s="29" t="s">
        <v>243</v>
      </c>
      <c r="S144" s="7" t="s">
        <v>238</v>
      </c>
      <c r="T144" s="7" t="s">
        <v>72</v>
      </c>
      <c r="U144" s="7" t="s">
        <v>228</v>
      </c>
      <c r="V144" s="7" t="s">
        <v>228</v>
      </c>
      <c r="AA144" t="str">
        <f>VLOOKUP(C144,[1]Sheet1!$C:$U,18,0)</f>
        <v/>
      </c>
    </row>
    <row r="145" spans="1:27" x14ac:dyDescent="0.3">
      <c r="A145" s="37" t="s">
        <v>182</v>
      </c>
      <c r="B145" s="29" t="s">
        <v>251</v>
      </c>
      <c r="C145" s="29" t="s">
        <v>252</v>
      </c>
      <c r="D145" s="29" t="s">
        <v>94</v>
      </c>
      <c r="E145" s="29"/>
      <c r="F145" s="48">
        <v>45527</v>
      </c>
      <c r="G145" s="48">
        <v>45626</v>
      </c>
      <c r="H145" s="29">
        <v>2024</v>
      </c>
      <c r="I145" s="30">
        <v>2000000</v>
      </c>
      <c r="J145" s="26">
        <v>0</v>
      </c>
      <c r="K145" s="26">
        <f t="shared" si="28"/>
        <v>2000000</v>
      </c>
      <c r="L145" s="28">
        <v>2000000</v>
      </c>
      <c r="M145" s="27">
        <f t="shared" si="36"/>
        <v>0</v>
      </c>
      <c r="N145" s="36" t="s">
        <v>81</v>
      </c>
      <c r="O145" s="29" t="s">
        <v>82</v>
      </c>
      <c r="P145" s="29" t="s">
        <v>70</v>
      </c>
      <c r="Q145" s="29"/>
      <c r="R145" t="s">
        <v>106</v>
      </c>
      <c r="S145" s="7" t="s">
        <v>238</v>
      </c>
      <c r="T145" s="7" t="s">
        <v>72</v>
      </c>
      <c r="U145" s="7" t="s">
        <v>72</v>
      </c>
      <c r="V145" s="7" t="s">
        <v>228</v>
      </c>
      <c r="AA145" t="str">
        <f>VLOOKUP(C145,[1]Sheet1!$C:$U,18,0)</f>
        <v/>
      </c>
    </row>
    <row r="146" spans="1:27" x14ac:dyDescent="0.3">
      <c r="A146" s="37" t="s">
        <v>182</v>
      </c>
      <c r="B146" s="29" t="s">
        <v>251</v>
      </c>
      <c r="C146" s="29" t="s">
        <v>252</v>
      </c>
      <c r="D146" s="29" t="s">
        <v>94</v>
      </c>
      <c r="E146" s="29"/>
      <c r="F146" s="48">
        <v>45527</v>
      </c>
      <c r="G146" s="48">
        <v>45626</v>
      </c>
      <c r="H146" s="29">
        <v>2024</v>
      </c>
      <c r="I146" s="30">
        <v>1550091</v>
      </c>
      <c r="J146" s="26">
        <v>0</v>
      </c>
      <c r="K146" s="26">
        <f t="shared" si="28"/>
        <v>1550091</v>
      </c>
      <c r="L146" s="28">
        <v>1550091</v>
      </c>
      <c r="M146" s="27">
        <f t="shared" si="36"/>
        <v>0</v>
      </c>
      <c r="N146" s="36" t="s">
        <v>81</v>
      </c>
      <c r="O146" s="29" t="s">
        <v>82</v>
      </c>
      <c r="P146" s="29" t="s">
        <v>73</v>
      </c>
      <c r="Q146" s="29"/>
      <c r="R146" t="s">
        <v>106</v>
      </c>
      <c r="S146" s="7" t="s">
        <v>238</v>
      </c>
      <c r="T146" s="7" t="s">
        <v>72</v>
      </c>
      <c r="U146" s="7" t="s">
        <v>72</v>
      </c>
      <c r="V146" s="7" t="s">
        <v>228</v>
      </c>
      <c r="AA146" t="str">
        <f>VLOOKUP(C146,[1]Sheet1!$C:$U,18,0)</f>
        <v/>
      </c>
    </row>
    <row r="147" spans="1:27" x14ac:dyDescent="0.3">
      <c r="A147" s="37" t="s">
        <v>182</v>
      </c>
      <c r="B147" s="29" t="s">
        <v>251</v>
      </c>
      <c r="C147" s="29" t="s">
        <v>253</v>
      </c>
      <c r="D147" s="29" t="s">
        <v>94</v>
      </c>
      <c r="E147" s="29"/>
      <c r="F147" s="48">
        <v>45527</v>
      </c>
      <c r="G147" s="48">
        <v>45626</v>
      </c>
      <c r="H147" s="29">
        <v>2024</v>
      </c>
      <c r="I147" s="30">
        <v>1449909</v>
      </c>
      <c r="J147" s="26">
        <v>0</v>
      </c>
      <c r="K147" s="26">
        <f t="shared" ref="K147" si="42">I147-J147</f>
        <v>1449909</v>
      </c>
      <c r="L147" s="28">
        <v>1449909</v>
      </c>
      <c r="M147" s="27">
        <f t="shared" si="36"/>
        <v>0</v>
      </c>
      <c r="N147" s="36" t="s">
        <v>81</v>
      </c>
      <c r="O147" s="29" t="s">
        <v>82</v>
      </c>
      <c r="P147" s="29" t="s">
        <v>73</v>
      </c>
      <c r="Q147" s="29" t="s">
        <v>254</v>
      </c>
      <c r="R147" t="s">
        <v>106</v>
      </c>
      <c r="S147" s="7" t="s">
        <v>244</v>
      </c>
      <c r="T147" s="7" t="s">
        <v>72</v>
      </c>
      <c r="U147" s="7" t="s">
        <v>72</v>
      </c>
      <c r="V147" s="7" t="s">
        <v>228</v>
      </c>
    </row>
    <row r="148" spans="1:27" x14ac:dyDescent="0.3">
      <c r="A148" s="37" t="s">
        <v>182</v>
      </c>
      <c r="B148" s="29" t="s">
        <v>161</v>
      </c>
      <c r="C148" s="29" t="s">
        <v>255</v>
      </c>
      <c r="D148" s="29" t="s">
        <v>94</v>
      </c>
      <c r="E148" s="29"/>
      <c r="F148" s="48">
        <v>45566</v>
      </c>
      <c r="G148" s="48">
        <v>45657</v>
      </c>
      <c r="H148" s="29">
        <v>2024</v>
      </c>
      <c r="I148" s="30">
        <v>1500000</v>
      </c>
      <c r="J148" s="26">
        <v>0</v>
      </c>
      <c r="K148" s="26">
        <f t="shared" si="28"/>
        <v>1500000</v>
      </c>
      <c r="L148" s="28">
        <v>1500000</v>
      </c>
      <c r="M148" s="27">
        <f t="shared" si="36"/>
        <v>0</v>
      </c>
      <c r="N148" s="36" t="s">
        <v>95</v>
      </c>
      <c r="O148" s="29" t="s">
        <v>96</v>
      </c>
      <c r="P148" s="29" t="s">
        <v>77</v>
      </c>
      <c r="Q148" s="29" t="s">
        <v>256</v>
      </c>
      <c r="R148" t="s">
        <v>243</v>
      </c>
      <c r="S148" s="7" t="s">
        <v>244</v>
      </c>
      <c r="T148" s="7" t="s">
        <v>72</v>
      </c>
      <c r="U148" s="7" t="s">
        <v>228</v>
      </c>
      <c r="V148" s="7" t="s">
        <v>228</v>
      </c>
      <c r="AA148" t="str">
        <f>VLOOKUP(C148,[1]Sheet1!$C:$U,18,0)</f>
        <v/>
      </c>
    </row>
    <row r="149" spans="1:27" x14ac:dyDescent="0.3">
      <c r="A149" s="37" t="s">
        <v>182</v>
      </c>
      <c r="B149" s="29" t="s">
        <v>163</v>
      </c>
      <c r="C149" s="29" t="s">
        <v>257</v>
      </c>
      <c r="D149" s="29" t="s">
        <v>94</v>
      </c>
      <c r="E149" s="29"/>
      <c r="F149" s="48">
        <v>45566</v>
      </c>
      <c r="G149" s="48">
        <v>45657</v>
      </c>
      <c r="H149" s="29">
        <v>2024</v>
      </c>
      <c r="I149" s="30">
        <v>8300000</v>
      </c>
      <c r="J149" s="26">
        <v>0</v>
      </c>
      <c r="K149" s="26">
        <f t="shared" si="28"/>
        <v>8300000</v>
      </c>
      <c r="L149" s="28">
        <v>8300000</v>
      </c>
      <c r="M149" s="27">
        <f t="shared" si="36"/>
        <v>0</v>
      </c>
      <c r="N149" s="36" t="s">
        <v>86</v>
      </c>
      <c r="O149" s="29" t="s">
        <v>87</v>
      </c>
      <c r="P149" s="29" t="s">
        <v>73</v>
      </c>
      <c r="Q149" s="29" t="s">
        <v>258</v>
      </c>
      <c r="R149" t="s">
        <v>243</v>
      </c>
      <c r="S149" s="7" t="s">
        <v>244</v>
      </c>
      <c r="T149" s="7" t="s">
        <v>72</v>
      </c>
      <c r="U149" s="7" t="s">
        <v>228</v>
      </c>
      <c r="V149" s="7" t="s">
        <v>228</v>
      </c>
      <c r="AA149" t="str">
        <f>VLOOKUP(C149,[1]Sheet1!$C:$U,18,0)</f>
        <v/>
      </c>
    </row>
    <row r="150" spans="1:27" x14ac:dyDescent="0.3">
      <c r="A150" s="37" t="s">
        <v>182</v>
      </c>
      <c r="B150" s="29" t="s">
        <v>163</v>
      </c>
      <c r="C150" s="29" t="s">
        <v>257</v>
      </c>
      <c r="D150" s="29" t="s">
        <v>94</v>
      </c>
      <c r="E150" s="29"/>
      <c r="F150" s="48">
        <v>45566</v>
      </c>
      <c r="G150" s="48">
        <v>45657</v>
      </c>
      <c r="H150" s="29">
        <v>2024</v>
      </c>
      <c r="I150" s="30">
        <v>8300000</v>
      </c>
      <c r="J150" s="26">
        <v>0</v>
      </c>
      <c r="K150" s="26">
        <f t="shared" si="28"/>
        <v>8300000</v>
      </c>
      <c r="L150" s="28">
        <v>8300000</v>
      </c>
      <c r="M150" s="27">
        <f t="shared" si="36"/>
        <v>0</v>
      </c>
      <c r="N150" s="36" t="s">
        <v>86</v>
      </c>
      <c r="O150" s="29" t="s">
        <v>87</v>
      </c>
      <c r="P150" s="29" t="s">
        <v>77</v>
      </c>
      <c r="Q150" s="29" t="s">
        <v>258</v>
      </c>
      <c r="R150" t="s">
        <v>243</v>
      </c>
      <c r="S150" s="7" t="s">
        <v>244</v>
      </c>
      <c r="T150" s="7" t="s">
        <v>72</v>
      </c>
      <c r="U150" s="7" t="s">
        <v>228</v>
      </c>
      <c r="V150" s="7" t="s">
        <v>228</v>
      </c>
      <c r="AA150" t="str">
        <f>VLOOKUP(C150,[1]Sheet1!$C:$U,18,0)</f>
        <v/>
      </c>
    </row>
    <row r="151" spans="1:27" x14ac:dyDescent="0.3">
      <c r="A151" s="37" t="s">
        <v>182</v>
      </c>
      <c r="B151" s="29" t="s">
        <v>167</v>
      </c>
      <c r="C151" s="29" t="s">
        <v>259</v>
      </c>
      <c r="D151" s="29" t="s">
        <v>94</v>
      </c>
      <c r="E151" s="29"/>
      <c r="F151" s="48">
        <v>45566</v>
      </c>
      <c r="G151" s="48">
        <v>45657</v>
      </c>
      <c r="H151" s="29">
        <v>2024</v>
      </c>
      <c r="I151" s="30">
        <v>10000000</v>
      </c>
      <c r="J151" s="26">
        <v>0</v>
      </c>
      <c r="K151" s="26">
        <f t="shared" si="28"/>
        <v>10000000</v>
      </c>
      <c r="L151" s="28">
        <v>0</v>
      </c>
      <c r="M151" s="27">
        <f t="shared" si="36"/>
        <v>10000000</v>
      </c>
      <c r="N151" s="36" t="s">
        <v>81</v>
      </c>
      <c r="O151" s="29" t="s">
        <v>82</v>
      </c>
      <c r="P151" s="29" t="s">
        <v>73</v>
      </c>
      <c r="Q151" s="29"/>
      <c r="S151" s="7"/>
      <c r="T151" s="7"/>
      <c r="U151" s="7"/>
      <c r="V151" s="7"/>
      <c r="AA151" t="str">
        <f>VLOOKUP(C151,[1]Sheet1!$C:$U,18,0)</f>
        <v/>
      </c>
    </row>
    <row r="152" spans="1:27" x14ac:dyDescent="0.3">
      <c r="A152" s="37" t="s">
        <v>182</v>
      </c>
      <c r="B152" s="29" t="s">
        <v>167</v>
      </c>
      <c r="C152" s="29" t="s">
        <v>259</v>
      </c>
      <c r="D152" s="29" t="s">
        <v>94</v>
      </c>
      <c r="E152" s="29"/>
      <c r="F152" s="48">
        <v>45566</v>
      </c>
      <c r="G152" s="48">
        <v>45657</v>
      </c>
      <c r="H152" s="29">
        <v>2024</v>
      </c>
      <c r="I152" s="30">
        <v>10000000</v>
      </c>
      <c r="J152" s="26">
        <v>0</v>
      </c>
      <c r="K152" s="26">
        <f t="shared" si="28"/>
        <v>10000000</v>
      </c>
      <c r="L152" s="28">
        <v>0</v>
      </c>
      <c r="M152" s="27">
        <f t="shared" si="36"/>
        <v>10000000</v>
      </c>
      <c r="N152" s="36" t="s">
        <v>81</v>
      </c>
      <c r="O152" s="29" t="s">
        <v>82</v>
      </c>
      <c r="P152" s="29" t="s">
        <v>77</v>
      </c>
      <c r="Q152" s="29"/>
      <c r="S152" s="7"/>
      <c r="T152" s="7"/>
      <c r="U152" s="7"/>
      <c r="V152" s="7"/>
      <c r="AA152" t="str">
        <f>VLOOKUP(C152,[1]Sheet1!$C:$U,18,0)</f>
        <v/>
      </c>
    </row>
    <row r="153" spans="1:27" x14ac:dyDescent="0.3">
      <c r="A153" s="37" t="s">
        <v>182</v>
      </c>
      <c r="B153" s="29" t="s">
        <v>173</v>
      </c>
      <c r="C153" s="29" t="s">
        <v>260</v>
      </c>
      <c r="D153" s="29" t="s">
        <v>94</v>
      </c>
      <c r="E153" s="29"/>
      <c r="F153" s="48">
        <v>45566</v>
      </c>
      <c r="G153" s="48">
        <v>45657</v>
      </c>
      <c r="H153" s="29">
        <v>2024</v>
      </c>
      <c r="I153" s="30">
        <v>1034089</v>
      </c>
      <c r="J153" s="26">
        <v>0</v>
      </c>
      <c r="K153" s="26">
        <f t="shared" si="28"/>
        <v>1034089</v>
      </c>
      <c r="L153" s="28">
        <v>1034089</v>
      </c>
      <c r="M153" s="27">
        <f t="shared" si="36"/>
        <v>0</v>
      </c>
      <c r="N153" s="36" t="s">
        <v>68</v>
      </c>
      <c r="O153" s="29" t="s">
        <v>69</v>
      </c>
      <c r="P153" s="29" t="s">
        <v>73</v>
      </c>
      <c r="Q153" s="29"/>
      <c r="R153" s="29" t="s">
        <v>106</v>
      </c>
      <c r="S153" s="7" t="s">
        <v>244</v>
      </c>
      <c r="T153" s="7" t="s">
        <v>72</v>
      </c>
      <c r="U153" s="7" t="s">
        <v>72</v>
      </c>
      <c r="V153" s="7" t="s">
        <v>228</v>
      </c>
      <c r="AA153" t="str">
        <f>VLOOKUP(C153,[1]Sheet1!$C:$U,18,0)</f>
        <v/>
      </c>
    </row>
    <row r="154" spans="1:27" x14ac:dyDescent="0.3">
      <c r="A154" s="37" t="s">
        <v>182</v>
      </c>
      <c r="B154" s="29" t="s">
        <v>173</v>
      </c>
      <c r="C154" s="29" t="s">
        <v>261</v>
      </c>
      <c r="D154" s="29" t="s">
        <v>94</v>
      </c>
      <c r="E154" s="29"/>
      <c r="F154" s="48">
        <v>45566</v>
      </c>
      <c r="G154" s="48">
        <v>45657</v>
      </c>
      <c r="H154" s="29">
        <v>2024</v>
      </c>
      <c r="I154" s="30">
        <v>13465911</v>
      </c>
      <c r="J154" s="26">
        <v>0</v>
      </c>
      <c r="K154" s="26">
        <f t="shared" ref="K154" si="43">I154-J154</f>
        <v>13465911</v>
      </c>
      <c r="L154" s="28">
        <v>0</v>
      </c>
      <c r="M154" s="27">
        <f t="shared" si="36"/>
        <v>13465911</v>
      </c>
      <c r="N154" s="36" t="s">
        <v>68</v>
      </c>
      <c r="O154" s="29" t="s">
        <v>69</v>
      </c>
      <c r="P154" s="29" t="s">
        <v>73</v>
      </c>
      <c r="Q154" s="29"/>
      <c r="S154" s="7"/>
      <c r="T154" s="7"/>
      <c r="U154" s="7"/>
      <c r="V154" s="7"/>
    </row>
    <row r="155" spans="1:27" x14ac:dyDescent="0.3">
      <c r="A155" s="37" t="s">
        <v>182</v>
      </c>
      <c r="B155" s="29" t="s">
        <v>173</v>
      </c>
      <c r="C155" s="29" t="s">
        <v>260</v>
      </c>
      <c r="D155" s="29" t="s">
        <v>94</v>
      </c>
      <c r="E155" s="29"/>
      <c r="F155" s="48">
        <v>45566</v>
      </c>
      <c r="G155" s="48">
        <v>45657</v>
      </c>
      <c r="H155" s="29">
        <v>2024</v>
      </c>
      <c r="I155" s="30">
        <v>14500000</v>
      </c>
      <c r="J155" s="26">
        <v>0</v>
      </c>
      <c r="K155" s="26">
        <f t="shared" si="28"/>
        <v>14500000</v>
      </c>
      <c r="L155" s="28">
        <v>0</v>
      </c>
      <c r="M155" s="27">
        <f t="shared" si="36"/>
        <v>14500000</v>
      </c>
      <c r="N155" s="36" t="s">
        <v>68</v>
      </c>
      <c r="O155" s="29" t="s">
        <v>69</v>
      </c>
      <c r="P155" s="29" t="s">
        <v>77</v>
      </c>
      <c r="Q155" s="29"/>
      <c r="S155" s="7"/>
      <c r="T155" s="7"/>
      <c r="U155" s="7"/>
      <c r="V155" s="7"/>
      <c r="AA155" t="str">
        <f>VLOOKUP(C155,[1]Sheet1!$C:$U,18,0)</f>
        <v/>
      </c>
    </row>
    <row r="156" spans="1:27" x14ac:dyDescent="0.3">
      <c r="A156" s="37" t="s">
        <v>182</v>
      </c>
      <c r="B156" s="29" t="s">
        <v>178</v>
      </c>
      <c r="C156" s="29" t="s">
        <v>262</v>
      </c>
      <c r="D156" s="29" t="s">
        <v>94</v>
      </c>
      <c r="E156" s="29"/>
      <c r="F156" s="48">
        <v>45577</v>
      </c>
      <c r="G156" s="48">
        <v>45657</v>
      </c>
      <c r="H156" s="29">
        <v>2024</v>
      </c>
      <c r="I156" s="30">
        <v>1500000</v>
      </c>
      <c r="J156" s="26">
        <v>0</v>
      </c>
      <c r="K156" s="26">
        <f t="shared" si="28"/>
        <v>1500000</v>
      </c>
      <c r="L156" s="28">
        <v>0</v>
      </c>
      <c r="M156" s="27">
        <f t="shared" si="36"/>
        <v>1500000</v>
      </c>
      <c r="N156" s="36" t="s">
        <v>68</v>
      </c>
      <c r="O156" s="29" t="s">
        <v>69</v>
      </c>
      <c r="P156" s="29" t="s">
        <v>73</v>
      </c>
      <c r="Q156" s="29"/>
      <c r="S156" s="7"/>
      <c r="T156" s="7"/>
      <c r="U156" s="7"/>
      <c r="V156" s="7"/>
      <c r="AA156" t="str">
        <f>VLOOKUP(C156,[1]Sheet1!$C:$U,18,0)</f>
        <v/>
      </c>
    </row>
    <row r="157" spans="1:27" x14ac:dyDescent="0.3">
      <c r="A157" s="37" t="s">
        <v>182</v>
      </c>
      <c r="B157" s="29" t="s">
        <v>180</v>
      </c>
      <c r="C157" s="29" t="s">
        <v>263</v>
      </c>
      <c r="D157" s="29" t="s">
        <v>94</v>
      </c>
      <c r="E157" s="29"/>
      <c r="F157" s="48">
        <v>45577</v>
      </c>
      <c r="G157" s="48">
        <v>45657</v>
      </c>
      <c r="H157" s="29">
        <v>2024</v>
      </c>
      <c r="I157" s="30">
        <v>5500000</v>
      </c>
      <c r="J157" s="26">
        <v>0</v>
      </c>
      <c r="K157" s="26">
        <f t="shared" si="28"/>
        <v>5500000</v>
      </c>
      <c r="L157" s="28">
        <v>0</v>
      </c>
      <c r="M157" s="27">
        <f t="shared" si="36"/>
        <v>5500000</v>
      </c>
      <c r="N157" s="36" t="s">
        <v>68</v>
      </c>
      <c r="O157" s="29" t="s">
        <v>69</v>
      </c>
      <c r="P157" s="29" t="s">
        <v>73</v>
      </c>
      <c r="Q157" s="29"/>
      <c r="S157" s="7"/>
      <c r="T157" s="7"/>
      <c r="U157" s="7"/>
      <c r="V157" s="7"/>
      <c r="AA157" t="str">
        <f>VLOOKUP(C157,[1]Sheet1!$C:$U,18,0)</f>
        <v/>
      </c>
    </row>
    <row r="158" spans="1:27" x14ac:dyDescent="0.3">
      <c r="A158" s="37" t="s">
        <v>182</v>
      </c>
      <c r="B158" s="29" t="s">
        <v>180</v>
      </c>
      <c r="C158" s="29" t="s">
        <v>263</v>
      </c>
      <c r="D158" s="29" t="s">
        <v>94</v>
      </c>
      <c r="E158" s="29"/>
      <c r="F158" s="48">
        <v>45577</v>
      </c>
      <c r="G158" s="48">
        <v>45657</v>
      </c>
      <c r="H158" s="29">
        <v>2024</v>
      </c>
      <c r="I158" s="30">
        <v>4500000</v>
      </c>
      <c r="J158" s="26">
        <v>0</v>
      </c>
      <c r="K158" s="26">
        <f t="shared" si="28"/>
        <v>4500000</v>
      </c>
      <c r="L158" s="28">
        <v>0</v>
      </c>
      <c r="M158" s="27">
        <f t="shared" si="36"/>
        <v>4500000</v>
      </c>
      <c r="N158" s="36" t="s">
        <v>68</v>
      </c>
      <c r="O158" s="29" t="s">
        <v>69</v>
      </c>
      <c r="P158" s="29" t="s">
        <v>77</v>
      </c>
      <c r="Q158" s="29"/>
      <c r="S158" s="7"/>
      <c r="T158" s="7"/>
      <c r="U158" s="7"/>
      <c r="V158" s="7"/>
      <c r="AA158" t="str">
        <f>VLOOKUP(C158,[1]Sheet1!$C:$U,18,0)</f>
        <v/>
      </c>
    </row>
    <row r="159" spans="1:27" x14ac:dyDescent="0.3">
      <c r="A159" s="29" t="s">
        <v>264</v>
      </c>
      <c r="B159" s="29" t="s">
        <v>74</v>
      </c>
      <c r="C159" s="29" t="s">
        <v>265</v>
      </c>
      <c r="D159" s="29" t="s">
        <v>67</v>
      </c>
      <c r="E159" s="29"/>
      <c r="F159" s="48">
        <v>45303</v>
      </c>
      <c r="G159" s="48">
        <v>45382</v>
      </c>
      <c r="H159" s="29">
        <v>2024</v>
      </c>
      <c r="I159" s="30">
        <v>1000000</v>
      </c>
      <c r="J159" s="26">
        <v>0</v>
      </c>
      <c r="K159" s="26">
        <v>0</v>
      </c>
      <c r="L159" s="28">
        <v>0</v>
      </c>
      <c r="M159" s="28">
        <f>K159-L159</f>
        <v>0</v>
      </c>
      <c r="N159" s="36" t="s">
        <v>68</v>
      </c>
      <c r="O159" s="29" t="s">
        <v>69</v>
      </c>
      <c r="P159" s="29" t="s">
        <v>70</v>
      </c>
      <c r="Q159" s="29"/>
      <c r="S159" s="7" t="s">
        <v>221</v>
      </c>
      <c r="T159" s="7" t="s">
        <v>72</v>
      </c>
      <c r="U159" s="7" t="s">
        <v>72</v>
      </c>
      <c r="V159" s="7" t="s">
        <v>72</v>
      </c>
      <c r="AA159" t="str">
        <f>VLOOKUP(C159,[1]Sheet1!$C:$U,18,0)</f>
        <v/>
      </c>
    </row>
    <row r="160" spans="1:27" x14ac:dyDescent="0.3">
      <c r="A160" s="29" t="s">
        <v>264</v>
      </c>
      <c r="B160" s="29" t="s">
        <v>74</v>
      </c>
      <c r="C160" s="29" t="s">
        <v>265</v>
      </c>
      <c r="D160" s="29" t="s">
        <v>67</v>
      </c>
      <c r="E160" s="29"/>
      <c r="F160" s="48">
        <v>45303</v>
      </c>
      <c r="G160" s="48">
        <v>45382</v>
      </c>
      <c r="H160" s="29">
        <v>2024</v>
      </c>
      <c r="I160" s="30">
        <v>1500000</v>
      </c>
      <c r="J160" s="26">
        <v>0</v>
      </c>
      <c r="K160" s="26">
        <v>0</v>
      </c>
      <c r="L160" s="28">
        <v>0</v>
      </c>
      <c r="M160" s="28">
        <f t="shared" ref="M160:M163" si="44">K160-L160</f>
        <v>0</v>
      </c>
      <c r="N160" s="36" t="s">
        <v>68</v>
      </c>
      <c r="O160" s="29" t="s">
        <v>69</v>
      </c>
      <c r="P160" s="29" t="s">
        <v>77</v>
      </c>
      <c r="Q160" s="29"/>
      <c r="S160" s="7" t="s">
        <v>221</v>
      </c>
      <c r="T160" s="7" t="s">
        <v>72</v>
      </c>
      <c r="U160" s="7" t="s">
        <v>72</v>
      </c>
      <c r="V160" s="7" t="s">
        <v>72</v>
      </c>
      <c r="AA160" t="str">
        <f>VLOOKUP(C160,[1]Sheet1!$C:$U,18,0)</f>
        <v/>
      </c>
    </row>
    <row r="161" spans="1:27" x14ac:dyDescent="0.3">
      <c r="A161" s="29" t="s">
        <v>264</v>
      </c>
      <c r="B161" s="29" t="s">
        <v>74</v>
      </c>
      <c r="C161" s="29" t="s">
        <v>265</v>
      </c>
      <c r="D161" s="29" t="s">
        <v>67</v>
      </c>
      <c r="E161" s="29"/>
      <c r="F161" s="48">
        <v>45303</v>
      </c>
      <c r="G161" s="48">
        <v>45382</v>
      </c>
      <c r="H161" s="29">
        <v>2024</v>
      </c>
      <c r="I161" s="30">
        <v>1500000</v>
      </c>
      <c r="J161" s="26">
        <v>0</v>
      </c>
      <c r="K161" s="26">
        <f t="shared" si="28"/>
        <v>1500000</v>
      </c>
      <c r="L161" s="28">
        <v>1000000</v>
      </c>
      <c r="M161" s="28">
        <v>0</v>
      </c>
      <c r="N161" s="36" t="s">
        <v>68</v>
      </c>
      <c r="O161" s="29" t="s">
        <v>69</v>
      </c>
      <c r="P161" s="29" t="s">
        <v>73</v>
      </c>
      <c r="Q161" s="29"/>
      <c r="S161" s="7" t="s">
        <v>76</v>
      </c>
      <c r="T161" s="7" t="s">
        <v>72</v>
      </c>
      <c r="U161" s="7" t="s">
        <v>72</v>
      </c>
      <c r="V161" s="7" t="s">
        <v>72</v>
      </c>
      <c r="AA161" t="str">
        <f>VLOOKUP(C161,[1]Sheet1!$C:$U,18,0)</f>
        <v/>
      </c>
    </row>
    <row r="162" spans="1:27" s="7" customFormat="1" x14ac:dyDescent="0.3">
      <c r="A162" s="67" t="s">
        <v>264</v>
      </c>
      <c r="B162" s="29" t="s">
        <v>173</v>
      </c>
      <c r="C162" s="67" t="s">
        <v>266</v>
      </c>
      <c r="D162" s="29" t="s">
        <v>94</v>
      </c>
      <c r="E162" s="29"/>
      <c r="F162" s="68">
        <v>45566</v>
      </c>
      <c r="G162" s="68">
        <v>45657</v>
      </c>
      <c r="H162" s="67">
        <v>2024</v>
      </c>
      <c r="I162" s="30">
        <v>3000000</v>
      </c>
      <c r="J162" s="26">
        <v>0</v>
      </c>
      <c r="K162" s="26">
        <f t="shared" si="28"/>
        <v>3000000</v>
      </c>
      <c r="L162" s="69">
        <v>3000000</v>
      </c>
      <c r="M162" s="28">
        <f t="shared" si="44"/>
        <v>0</v>
      </c>
      <c r="N162" s="36" t="s">
        <v>68</v>
      </c>
      <c r="O162" s="67" t="s">
        <v>69</v>
      </c>
      <c r="P162" s="67" t="s">
        <v>73</v>
      </c>
      <c r="Q162" s="29"/>
      <c r="R162" s="7" t="s">
        <v>267</v>
      </c>
      <c r="S162" s="7" t="s">
        <v>268</v>
      </c>
      <c r="AA162" s="7" t="str">
        <f>VLOOKUP(C162,[1]Sheet1!$C:$U,18,0)</f>
        <v/>
      </c>
    </row>
    <row r="163" spans="1:27" s="7" customFormat="1" x14ac:dyDescent="0.3">
      <c r="A163" s="67" t="s">
        <v>264</v>
      </c>
      <c r="B163" s="29" t="s">
        <v>173</v>
      </c>
      <c r="C163" s="67" t="s">
        <v>266</v>
      </c>
      <c r="D163" s="29" t="s">
        <v>94</v>
      </c>
      <c r="E163" s="29"/>
      <c r="F163" s="68">
        <v>45566</v>
      </c>
      <c r="G163" s="68">
        <v>45657</v>
      </c>
      <c r="H163" s="67">
        <v>2024</v>
      </c>
      <c r="I163" s="30">
        <v>3000000</v>
      </c>
      <c r="J163" s="26">
        <v>0</v>
      </c>
      <c r="K163" s="26">
        <f t="shared" si="28"/>
        <v>3000000</v>
      </c>
      <c r="L163" s="69">
        <v>3000000</v>
      </c>
      <c r="M163" s="28">
        <f t="shared" si="44"/>
        <v>0</v>
      </c>
      <c r="N163" s="36" t="s">
        <v>68</v>
      </c>
      <c r="O163" s="67" t="s">
        <v>69</v>
      </c>
      <c r="P163" s="67" t="s">
        <v>77</v>
      </c>
      <c r="Q163" s="29"/>
      <c r="R163" s="7" t="s">
        <v>267</v>
      </c>
      <c r="S163" s="7" t="s">
        <v>268</v>
      </c>
      <c r="AA163" s="7" t="str">
        <f>VLOOKUP(C163,[1]Sheet1!$C:$U,18,0)</f>
        <v/>
      </c>
    </row>
    <row r="164" spans="1:27" x14ac:dyDescent="0.3">
      <c r="A164" s="29" t="s">
        <v>269</v>
      </c>
      <c r="B164" s="29" t="s">
        <v>74</v>
      </c>
      <c r="C164" s="29" t="s">
        <v>270</v>
      </c>
      <c r="D164" s="29" t="s">
        <v>67</v>
      </c>
      <c r="E164" s="29"/>
      <c r="F164" s="48">
        <v>45303</v>
      </c>
      <c r="G164" s="48">
        <v>45382</v>
      </c>
      <c r="H164" s="29">
        <v>2024</v>
      </c>
      <c r="I164" s="30">
        <v>2000000</v>
      </c>
      <c r="J164" s="26">
        <v>574365</v>
      </c>
      <c r="K164" s="26">
        <v>0</v>
      </c>
      <c r="L164" s="28">
        <v>0</v>
      </c>
      <c r="M164" s="27">
        <f>K164-L164</f>
        <v>0</v>
      </c>
      <c r="N164" s="36" t="s">
        <v>68</v>
      </c>
      <c r="O164" s="29" t="s">
        <v>69</v>
      </c>
      <c r="P164" s="29" t="s">
        <v>70</v>
      </c>
      <c r="Q164" s="29"/>
      <c r="S164" s="7" t="s">
        <v>271</v>
      </c>
      <c r="T164" s="7" t="s">
        <v>72</v>
      </c>
      <c r="U164" s="7" t="s">
        <v>72</v>
      </c>
      <c r="V164" s="7" t="s">
        <v>72</v>
      </c>
      <c r="AA164" t="str">
        <f>VLOOKUP(C164,[1]Sheet1!$C:$U,18,0)</f>
        <v/>
      </c>
    </row>
    <row r="165" spans="1:27" x14ac:dyDescent="0.3">
      <c r="A165" s="29" t="s">
        <v>269</v>
      </c>
      <c r="B165" s="29" t="s">
        <v>74</v>
      </c>
      <c r="C165" s="29" t="s">
        <v>270</v>
      </c>
      <c r="D165" s="29" t="s">
        <v>67</v>
      </c>
      <c r="E165" s="29"/>
      <c r="F165" s="48">
        <v>45303</v>
      </c>
      <c r="G165" s="48">
        <v>45382</v>
      </c>
      <c r="H165" s="29">
        <v>2024</v>
      </c>
      <c r="I165" s="30">
        <v>3000000</v>
      </c>
      <c r="J165" s="26">
        <v>3000000</v>
      </c>
      <c r="K165" s="26">
        <v>0</v>
      </c>
      <c r="L165" s="28">
        <v>0</v>
      </c>
      <c r="M165" s="27">
        <f t="shared" ref="M165:M167" si="45">K165-L165</f>
        <v>0</v>
      </c>
      <c r="N165" s="36" t="s">
        <v>68</v>
      </c>
      <c r="O165" s="29" t="s">
        <v>69</v>
      </c>
      <c r="P165" s="29" t="s">
        <v>77</v>
      </c>
      <c r="Q165" s="29"/>
      <c r="S165" s="7" t="s">
        <v>271</v>
      </c>
      <c r="T165" s="7" t="s">
        <v>72</v>
      </c>
      <c r="U165" s="7" t="s">
        <v>72</v>
      </c>
      <c r="V165" s="7" t="s">
        <v>72</v>
      </c>
      <c r="AA165" t="str">
        <f>VLOOKUP(C165,[1]Sheet1!$C:$U,18,0)</f>
        <v/>
      </c>
    </row>
    <row r="166" spans="1:27" x14ac:dyDescent="0.3">
      <c r="A166" s="29" t="s">
        <v>269</v>
      </c>
      <c r="B166" s="29" t="s">
        <v>74</v>
      </c>
      <c r="C166" s="29" t="s">
        <v>270</v>
      </c>
      <c r="D166" s="29" t="s">
        <v>67</v>
      </c>
      <c r="E166" s="29"/>
      <c r="F166" s="48">
        <v>45303</v>
      </c>
      <c r="G166" s="48">
        <v>45382</v>
      </c>
      <c r="H166" s="29">
        <v>2024</v>
      </c>
      <c r="I166" s="30">
        <v>4000000</v>
      </c>
      <c r="J166" s="26">
        <v>4000000</v>
      </c>
      <c r="K166" s="26">
        <v>0</v>
      </c>
      <c r="L166" s="28">
        <v>0</v>
      </c>
      <c r="M166" s="27">
        <f t="shared" si="45"/>
        <v>0</v>
      </c>
      <c r="N166" s="36" t="s">
        <v>68</v>
      </c>
      <c r="O166" s="29" t="s">
        <v>69</v>
      </c>
      <c r="P166" s="29" t="s">
        <v>73</v>
      </c>
      <c r="Q166" s="29"/>
      <c r="S166" s="7" t="s">
        <v>272</v>
      </c>
      <c r="T166" s="7" t="s">
        <v>72</v>
      </c>
      <c r="U166" s="7" t="s">
        <v>72</v>
      </c>
      <c r="V166" s="7" t="s">
        <v>72</v>
      </c>
      <c r="AA166" t="str">
        <f>VLOOKUP(C166,[1]Sheet1!$C:$U,18,0)</f>
        <v/>
      </c>
    </row>
    <row r="167" spans="1:27" x14ac:dyDescent="0.3">
      <c r="A167" s="29" t="s">
        <v>269</v>
      </c>
      <c r="B167" s="29" t="s">
        <v>110</v>
      </c>
      <c r="C167" s="29" t="s">
        <v>273</v>
      </c>
      <c r="D167" s="29" t="s">
        <v>94</v>
      </c>
      <c r="E167" s="29"/>
      <c r="F167" s="48">
        <v>45408</v>
      </c>
      <c r="G167" s="48">
        <v>45473</v>
      </c>
      <c r="H167" s="29">
        <v>2024</v>
      </c>
      <c r="I167" s="30">
        <v>2400789</v>
      </c>
      <c r="J167" s="26">
        <v>0</v>
      </c>
      <c r="K167" s="26">
        <f t="shared" si="28"/>
        <v>2400789</v>
      </c>
      <c r="L167" s="28">
        <v>0</v>
      </c>
      <c r="M167" s="27">
        <f t="shared" si="45"/>
        <v>2400789</v>
      </c>
      <c r="N167" s="36" t="s">
        <v>86</v>
      </c>
      <c r="O167" s="29" t="s">
        <v>87</v>
      </c>
      <c r="P167" s="29" t="s">
        <v>73</v>
      </c>
      <c r="Q167" s="29"/>
      <c r="R167" t="s">
        <v>274</v>
      </c>
      <c r="S167" s="7"/>
      <c r="T167" s="7"/>
      <c r="U167" s="7"/>
      <c r="V167" s="7"/>
      <c r="AA167" t="str">
        <f>VLOOKUP(C167,[1]Sheet1!$C:$U,18,0)</f>
        <v/>
      </c>
    </row>
    <row r="168" spans="1:27" x14ac:dyDescent="0.3">
      <c r="A168" s="29" t="s">
        <v>275</v>
      </c>
      <c r="B168" s="29" t="s">
        <v>74</v>
      </c>
      <c r="C168" s="29" t="s">
        <v>276</v>
      </c>
      <c r="D168" s="29" t="s">
        <v>67</v>
      </c>
      <c r="E168" s="29"/>
      <c r="F168" s="48">
        <v>45303</v>
      </c>
      <c r="G168" s="48">
        <v>45382</v>
      </c>
      <c r="H168" s="29">
        <v>2024</v>
      </c>
      <c r="I168" s="30">
        <v>5000000</v>
      </c>
      <c r="J168" s="26">
        <v>4958807</v>
      </c>
      <c r="K168" s="26">
        <v>0</v>
      </c>
      <c r="L168" s="28">
        <v>0</v>
      </c>
      <c r="M168" s="27">
        <f t="shared" ref="M168:M170" si="46">K168-L168</f>
        <v>0</v>
      </c>
      <c r="N168" s="36" t="s">
        <v>68</v>
      </c>
      <c r="O168" s="29" t="s">
        <v>69</v>
      </c>
      <c r="P168" s="29" t="s">
        <v>70</v>
      </c>
      <c r="Q168" s="29"/>
      <c r="S168" s="7" t="s">
        <v>277</v>
      </c>
      <c r="T168" s="7" t="s">
        <v>72</v>
      </c>
      <c r="U168" s="7" t="s">
        <v>72</v>
      </c>
      <c r="V168" s="7" t="s">
        <v>72</v>
      </c>
      <c r="AA168" t="str">
        <f>VLOOKUP(C168,[1]Sheet1!$C:$U,18,0)</f>
        <v/>
      </c>
    </row>
    <row r="169" spans="1:27" x14ac:dyDescent="0.3">
      <c r="A169" s="29" t="s">
        <v>275</v>
      </c>
      <c r="B169" s="29" t="s">
        <v>74</v>
      </c>
      <c r="C169" s="29" t="s">
        <v>276</v>
      </c>
      <c r="D169" s="29" t="s">
        <v>67</v>
      </c>
      <c r="E169" s="29"/>
      <c r="F169" s="48">
        <v>45303</v>
      </c>
      <c r="G169" s="48">
        <v>45382</v>
      </c>
      <c r="H169" s="29">
        <v>2024</v>
      </c>
      <c r="I169" s="30">
        <v>7000000</v>
      </c>
      <c r="J169" s="26">
        <v>7000000</v>
      </c>
      <c r="K169" s="26">
        <v>0</v>
      </c>
      <c r="L169" s="28">
        <v>0</v>
      </c>
      <c r="M169" s="27">
        <f t="shared" si="46"/>
        <v>0</v>
      </c>
      <c r="N169" s="36" t="s">
        <v>68</v>
      </c>
      <c r="O169" s="29" t="s">
        <v>69</v>
      </c>
      <c r="P169" s="29" t="s">
        <v>77</v>
      </c>
      <c r="Q169" s="29"/>
      <c r="S169" s="7" t="s">
        <v>277</v>
      </c>
      <c r="T169" s="7" t="s">
        <v>72</v>
      </c>
      <c r="U169" s="7" t="s">
        <v>72</v>
      </c>
      <c r="V169" s="7" t="s">
        <v>72</v>
      </c>
      <c r="AA169" t="str">
        <f>VLOOKUP(C169,[1]Sheet1!$C:$U,18,0)</f>
        <v/>
      </c>
    </row>
    <row r="170" spans="1:27" x14ac:dyDescent="0.3">
      <c r="A170" s="29" t="s">
        <v>275</v>
      </c>
      <c r="B170" s="29" t="s">
        <v>74</v>
      </c>
      <c r="C170" s="29" t="s">
        <v>276</v>
      </c>
      <c r="D170" s="29" t="s">
        <v>67</v>
      </c>
      <c r="E170" s="29"/>
      <c r="F170" s="48">
        <v>45303</v>
      </c>
      <c r="G170" s="48">
        <v>45382</v>
      </c>
      <c r="H170" s="29">
        <v>2024</v>
      </c>
      <c r="I170" s="30">
        <v>5000000</v>
      </c>
      <c r="J170" s="26">
        <v>5000000</v>
      </c>
      <c r="K170" s="26">
        <v>0</v>
      </c>
      <c r="L170" s="28">
        <v>0</v>
      </c>
      <c r="M170" s="27">
        <f t="shared" si="46"/>
        <v>0</v>
      </c>
      <c r="N170" s="36" t="s">
        <v>68</v>
      </c>
      <c r="O170" s="29" t="s">
        <v>69</v>
      </c>
      <c r="P170" s="29" t="s">
        <v>73</v>
      </c>
      <c r="Q170" s="29"/>
      <c r="S170" s="7" t="s">
        <v>277</v>
      </c>
      <c r="T170" s="7" t="s">
        <v>72</v>
      </c>
      <c r="U170" s="7" t="s">
        <v>72</v>
      </c>
      <c r="V170" s="7" t="s">
        <v>72</v>
      </c>
    </row>
    <row r="171" spans="1:27" x14ac:dyDescent="0.3">
      <c r="A171" s="29" t="s">
        <v>275</v>
      </c>
      <c r="B171" s="29" t="s">
        <v>278</v>
      </c>
      <c r="C171" s="29" t="s">
        <v>279</v>
      </c>
      <c r="D171" s="29" t="s">
        <v>94</v>
      </c>
      <c r="E171" s="29"/>
      <c r="F171" s="48">
        <v>45338</v>
      </c>
      <c r="G171" s="48">
        <v>45443</v>
      </c>
      <c r="H171" s="29">
        <v>2024</v>
      </c>
      <c r="I171" s="30">
        <v>711022</v>
      </c>
      <c r="J171" s="26">
        <v>0</v>
      </c>
      <c r="K171" s="26">
        <f t="shared" si="28"/>
        <v>711022</v>
      </c>
      <c r="L171" s="28">
        <v>711022</v>
      </c>
      <c r="M171" s="28">
        <f t="shared" ref="M171:M193" si="47">K171-L171</f>
        <v>0</v>
      </c>
      <c r="N171" s="36" t="s">
        <v>68</v>
      </c>
      <c r="O171" s="29" t="s">
        <v>69</v>
      </c>
      <c r="P171" s="29" t="s">
        <v>70</v>
      </c>
      <c r="Q171" s="29"/>
      <c r="S171" s="7" t="s">
        <v>83</v>
      </c>
      <c r="T171" s="7" t="s">
        <v>72</v>
      </c>
      <c r="U171" s="7" t="s">
        <v>72</v>
      </c>
      <c r="V171" s="7"/>
    </row>
    <row r="172" spans="1:27" s="7" customFormat="1" x14ac:dyDescent="0.3">
      <c r="A172" s="67" t="s">
        <v>275</v>
      </c>
      <c r="B172" s="29" t="s">
        <v>278</v>
      </c>
      <c r="C172" s="67" t="s">
        <v>280</v>
      </c>
      <c r="D172" s="29" t="s">
        <v>94</v>
      </c>
      <c r="E172" s="29"/>
      <c r="F172" s="68">
        <v>45338</v>
      </c>
      <c r="G172" s="68">
        <v>45443</v>
      </c>
      <c r="H172" s="67">
        <v>2024</v>
      </c>
      <c r="I172" s="30">
        <v>1288978</v>
      </c>
      <c r="J172" s="26">
        <v>0</v>
      </c>
      <c r="K172" s="26">
        <f>I172-J172</f>
        <v>1288978</v>
      </c>
      <c r="L172" s="69">
        <v>1288978</v>
      </c>
      <c r="M172" s="28">
        <f t="shared" ref="M172" si="48">K172-L172</f>
        <v>0</v>
      </c>
      <c r="N172" s="36" t="s">
        <v>68</v>
      </c>
      <c r="O172" s="67" t="s">
        <v>69</v>
      </c>
      <c r="P172" s="67" t="s">
        <v>70</v>
      </c>
      <c r="Q172" s="29"/>
      <c r="R172" s="7" t="s">
        <v>267</v>
      </c>
      <c r="S172" s="7" t="s">
        <v>281</v>
      </c>
    </row>
    <row r="173" spans="1:27" x14ac:dyDescent="0.3">
      <c r="A173" s="29" t="s">
        <v>275</v>
      </c>
      <c r="B173" s="29" t="s">
        <v>278</v>
      </c>
      <c r="C173" s="29" t="s">
        <v>282</v>
      </c>
      <c r="D173" s="29" t="s">
        <v>94</v>
      </c>
      <c r="E173" s="29"/>
      <c r="F173" s="48">
        <v>45338</v>
      </c>
      <c r="G173" s="48">
        <v>45443</v>
      </c>
      <c r="H173" s="29">
        <v>2024</v>
      </c>
      <c r="I173" s="30">
        <v>2000000</v>
      </c>
      <c r="J173" s="26">
        <v>2000000</v>
      </c>
      <c r="K173" s="26">
        <f t="shared" si="28"/>
        <v>0</v>
      </c>
      <c r="L173" s="28">
        <v>0</v>
      </c>
      <c r="M173" s="28">
        <f t="shared" si="47"/>
        <v>0</v>
      </c>
      <c r="N173" s="36" t="s">
        <v>68</v>
      </c>
      <c r="O173" s="29" t="s">
        <v>69</v>
      </c>
      <c r="P173" s="29" t="s">
        <v>77</v>
      </c>
      <c r="Q173" s="29"/>
      <c r="S173" s="7" t="s">
        <v>272</v>
      </c>
      <c r="T173" s="7" t="s">
        <v>72</v>
      </c>
      <c r="U173" s="7" t="s">
        <v>72</v>
      </c>
      <c r="V173" s="7" t="s">
        <v>72</v>
      </c>
    </row>
    <row r="174" spans="1:27" x14ac:dyDescent="0.3">
      <c r="A174" s="29" t="s">
        <v>275</v>
      </c>
      <c r="B174" s="29" t="s">
        <v>278</v>
      </c>
      <c r="C174" s="29" t="s">
        <v>283</v>
      </c>
      <c r="D174" s="29" t="s">
        <v>94</v>
      </c>
      <c r="E174" s="29"/>
      <c r="F174" s="48">
        <v>45338</v>
      </c>
      <c r="G174" s="48">
        <v>45443</v>
      </c>
      <c r="H174" s="29">
        <v>2024</v>
      </c>
      <c r="I174" s="30">
        <v>1000000</v>
      </c>
      <c r="J174" s="26">
        <v>0</v>
      </c>
      <c r="K174" s="26">
        <f>I174-J174</f>
        <v>1000000</v>
      </c>
      <c r="L174" s="28">
        <v>1000000</v>
      </c>
      <c r="M174" s="28">
        <f t="shared" si="47"/>
        <v>0</v>
      </c>
      <c r="N174" s="36" t="s">
        <v>68</v>
      </c>
      <c r="O174" s="29" t="s">
        <v>69</v>
      </c>
      <c r="P174" s="29" t="s">
        <v>77</v>
      </c>
      <c r="Q174" s="29"/>
      <c r="S174" s="7" t="s">
        <v>83</v>
      </c>
      <c r="T174" s="7" t="s">
        <v>72</v>
      </c>
      <c r="U174" s="7" t="s">
        <v>72</v>
      </c>
      <c r="V174" s="7"/>
    </row>
    <row r="175" spans="1:27" x14ac:dyDescent="0.3">
      <c r="A175" s="29" t="s">
        <v>275</v>
      </c>
      <c r="B175" s="29" t="s">
        <v>278</v>
      </c>
      <c r="C175" s="29" t="s">
        <v>284</v>
      </c>
      <c r="D175" s="29" t="s">
        <v>94</v>
      </c>
      <c r="E175" s="29"/>
      <c r="F175" s="48">
        <v>45338</v>
      </c>
      <c r="G175" s="48">
        <v>45443</v>
      </c>
      <c r="H175" s="29">
        <v>2024</v>
      </c>
      <c r="I175" s="30">
        <v>3000000</v>
      </c>
      <c r="J175" s="26">
        <v>3000000</v>
      </c>
      <c r="K175" s="26">
        <f t="shared" si="28"/>
        <v>0</v>
      </c>
      <c r="L175" s="28">
        <v>0</v>
      </c>
      <c r="M175" s="28">
        <f t="shared" si="47"/>
        <v>0</v>
      </c>
      <c r="N175" s="36" t="s">
        <v>68</v>
      </c>
      <c r="O175" s="29" t="s">
        <v>69</v>
      </c>
      <c r="P175" s="29" t="s">
        <v>73</v>
      </c>
      <c r="Q175" s="29"/>
      <c r="S175" s="7" t="s">
        <v>272</v>
      </c>
      <c r="T175" s="7" t="s">
        <v>72</v>
      </c>
      <c r="U175" s="7" t="s">
        <v>72</v>
      </c>
      <c r="V175" s="7" t="s">
        <v>72</v>
      </c>
    </row>
    <row r="176" spans="1:27" x14ac:dyDescent="0.3">
      <c r="A176" s="29" t="s">
        <v>275</v>
      </c>
      <c r="B176" s="29" t="s">
        <v>278</v>
      </c>
      <c r="C176" s="29" t="s">
        <v>283</v>
      </c>
      <c r="D176" s="29" t="s">
        <v>94</v>
      </c>
      <c r="E176" s="29"/>
      <c r="F176" s="48">
        <v>45338</v>
      </c>
      <c r="G176" s="48">
        <v>45443</v>
      </c>
      <c r="H176" s="29">
        <v>2024</v>
      </c>
      <c r="I176" s="30">
        <v>4000000</v>
      </c>
      <c r="J176" s="26">
        <v>0</v>
      </c>
      <c r="K176" s="26">
        <f t="shared" si="28"/>
        <v>4000000</v>
      </c>
      <c r="L176" s="28">
        <v>4000000</v>
      </c>
      <c r="M176" s="28">
        <f t="shared" si="47"/>
        <v>0</v>
      </c>
      <c r="N176" s="36" t="s">
        <v>68</v>
      </c>
      <c r="O176" s="29" t="s">
        <v>69</v>
      </c>
      <c r="P176" s="29" t="s">
        <v>73</v>
      </c>
      <c r="Q176" s="29"/>
      <c r="S176" s="7" t="s">
        <v>83</v>
      </c>
      <c r="T176" s="7" t="s">
        <v>72</v>
      </c>
      <c r="U176" s="7" t="s">
        <v>72</v>
      </c>
      <c r="V176" s="7"/>
    </row>
    <row r="177" spans="1:27" x14ac:dyDescent="0.3">
      <c r="A177" s="29" t="s">
        <v>275</v>
      </c>
      <c r="B177" s="29" t="s">
        <v>102</v>
      </c>
      <c r="C177" s="29" t="s">
        <v>285</v>
      </c>
      <c r="D177" s="29" t="s">
        <v>67</v>
      </c>
      <c r="E177" s="29"/>
      <c r="F177" s="48">
        <v>45385</v>
      </c>
      <c r="G177" s="48">
        <v>45504</v>
      </c>
      <c r="H177" s="29">
        <v>2024</v>
      </c>
      <c r="I177" s="30">
        <v>4000000</v>
      </c>
      <c r="J177" s="26">
        <v>3976882</v>
      </c>
      <c r="K177" s="26">
        <v>0</v>
      </c>
      <c r="L177" s="28">
        <v>0</v>
      </c>
      <c r="M177" s="27">
        <f t="shared" si="47"/>
        <v>0</v>
      </c>
      <c r="N177" s="36" t="s">
        <v>68</v>
      </c>
      <c r="O177" s="29" t="s">
        <v>69</v>
      </c>
      <c r="P177" s="29" t="s">
        <v>70</v>
      </c>
      <c r="Q177" s="29"/>
      <c r="S177" s="7" t="s">
        <v>286</v>
      </c>
      <c r="T177" s="7" t="s">
        <v>72</v>
      </c>
      <c r="U177" s="7" t="s">
        <v>72</v>
      </c>
      <c r="V177" s="7" t="s">
        <v>72</v>
      </c>
    </row>
    <row r="178" spans="1:27" x14ac:dyDescent="0.3">
      <c r="A178" s="29" t="s">
        <v>275</v>
      </c>
      <c r="B178" s="29" t="s">
        <v>102</v>
      </c>
      <c r="C178" s="29" t="s">
        <v>285</v>
      </c>
      <c r="D178" s="29" t="s">
        <v>67</v>
      </c>
      <c r="E178" s="29"/>
      <c r="F178" s="48">
        <v>45385</v>
      </c>
      <c r="G178" s="48">
        <v>45504</v>
      </c>
      <c r="H178" s="29">
        <v>2024</v>
      </c>
      <c r="I178" s="30">
        <v>1000000</v>
      </c>
      <c r="J178" s="26">
        <v>1000000</v>
      </c>
      <c r="K178" s="26">
        <v>0</v>
      </c>
      <c r="L178" s="28">
        <v>0</v>
      </c>
      <c r="M178" s="27">
        <f t="shared" si="47"/>
        <v>0</v>
      </c>
      <c r="N178" s="36" t="s">
        <v>68</v>
      </c>
      <c r="O178" s="29" t="s">
        <v>69</v>
      </c>
      <c r="P178" s="29" t="s">
        <v>77</v>
      </c>
      <c r="Q178" s="29"/>
      <c r="S178" s="7" t="s">
        <v>286</v>
      </c>
      <c r="T178" s="7" t="s">
        <v>72</v>
      </c>
      <c r="U178" s="7" t="s">
        <v>72</v>
      </c>
      <c r="V178" s="7" t="s">
        <v>72</v>
      </c>
    </row>
    <row r="179" spans="1:27" x14ac:dyDescent="0.3">
      <c r="A179" s="29" t="s">
        <v>275</v>
      </c>
      <c r="B179" s="29" t="s">
        <v>102</v>
      </c>
      <c r="C179" s="29" t="s">
        <v>285</v>
      </c>
      <c r="D179" s="29" t="s">
        <v>67</v>
      </c>
      <c r="E179" s="29"/>
      <c r="F179" s="48">
        <v>45385</v>
      </c>
      <c r="G179" s="48">
        <v>45504</v>
      </c>
      <c r="H179" s="29">
        <v>2024</v>
      </c>
      <c r="I179" s="30">
        <v>5000000</v>
      </c>
      <c r="J179" s="26">
        <v>5000000</v>
      </c>
      <c r="K179" s="26">
        <v>0</v>
      </c>
      <c r="L179" s="28">
        <v>0</v>
      </c>
      <c r="M179" s="27">
        <f t="shared" si="47"/>
        <v>0</v>
      </c>
      <c r="N179" s="36" t="s">
        <v>68</v>
      </c>
      <c r="O179" s="29" t="s">
        <v>69</v>
      </c>
      <c r="P179" s="29" t="s">
        <v>73</v>
      </c>
      <c r="Q179" s="29"/>
      <c r="S179" s="7" t="s">
        <v>286</v>
      </c>
      <c r="T179" s="7" t="s">
        <v>72</v>
      </c>
      <c r="U179" s="7" t="s">
        <v>72</v>
      </c>
      <c r="V179" s="7" t="s">
        <v>72</v>
      </c>
    </row>
    <row r="180" spans="1:27" x14ac:dyDescent="0.3">
      <c r="A180" s="29" t="s">
        <v>275</v>
      </c>
      <c r="B180" s="29" t="s">
        <v>287</v>
      </c>
      <c r="C180" s="29" t="s">
        <v>288</v>
      </c>
      <c r="D180" s="29" t="s">
        <v>67</v>
      </c>
      <c r="E180" s="29"/>
      <c r="F180" s="48">
        <v>45437</v>
      </c>
      <c r="G180" s="48">
        <v>45504</v>
      </c>
      <c r="H180" s="29">
        <v>2024</v>
      </c>
      <c r="I180" s="30">
        <v>4000000</v>
      </c>
      <c r="J180" s="26">
        <v>0</v>
      </c>
      <c r="K180" s="26">
        <f t="shared" si="28"/>
        <v>4000000</v>
      </c>
      <c r="L180" s="28">
        <v>4000000</v>
      </c>
      <c r="M180" s="28">
        <f t="shared" si="47"/>
        <v>0</v>
      </c>
      <c r="N180" s="36" t="s">
        <v>68</v>
      </c>
      <c r="O180" s="29" t="s">
        <v>69</v>
      </c>
      <c r="P180" s="29" t="s">
        <v>70</v>
      </c>
      <c r="Q180" s="29"/>
      <c r="S180" s="7" t="s">
        <v>289</v>
      </c>
      <c r="T180" s="7" t="s">
        <v>72</v>
      </c>
      <c r="U180" s="7" t="s">
        <v>72</v>
      </c>
      <c r="V180" s="7" t="s">
        <v>72</v>
      </c>
    </row>
    <row r="181" spans="1:27" x14ac:dyDescent="0.3">
      <c r="A181" s="29" t="s">
        <v>275</v>
      </c>
      <c r="B181" s="29" t="s">
        <v>287</v>
      </c>
      <c r="C181" s="29" t="s">
        <v>288</v>
      </c>
      <c r="D181" s="29" t="s">
        <v>67</v>
      </c>
      <c r="E181" s="29"/>
      <c r="F181" s="48">
        <v>45437</v>
      </c>
      <c r="G181" s="48">
        <v>45504</v>
      </c>
      <c r="H181" s="29">
        <v>2024</v>
      </c>
      <c r="I181" s="30">
        <v>4902960</v>
      </c>
      <c r="J181" s="26">
        <v>0</v>
      </c>
      <c r="K181" s="26">
        <f t="shared" si="28"/>
        <v>4902960</v>
      </c>
      <c r="L181" s="28">
        <v>4902960</v>
      </c>
      <c r="M181" s="28">
        <f t="shared" si="47"/>
        <v>0</v>
      </c>
      <c r="N181" s="36" t="s">
        <v>68</v>
      </c>
      <c r="O181" s="29" t="s">
        <v>69</v>
      </c>
      <c r="P181" s="29" t="s">
        <v>73</v>
      </c>
      <c r="Q181" s="29"/>
      <c r="S181" s="7" t="s">
        <v>290</v>
      </c>
      <c r="T181" s="7" t="s">
        <v>72</v>
      </c>
      <c r="U181" s="7" t="s">
        <v>72</v>
      </c>
      <c r="V181" s="7" t="s">
        <v>72</v>
      </c>
    </row>
    <row r="182" spans="1:27" x14ac:dyDescent="0.3">
      <c r="A182" s="29" t="s">
        <v>275</v>
      </c>
      <c r="B182" s="29" t="s">
        <v>287</v>
      </c>
      <c r="C182" s="29" t="s">
        <v>288</v>
      </c>
      <c r="D182" s="29" t="s">
        <v>67</v>
      </c>
      <c r="E182" s="29"/>
      <c r="F182" s="48">
        <v>45437</v>
      </c>
      <c r="G182" s="48">
        <v>45504</v>
      </c>
      <c r="H182" s="29">
        <v>2024</v>
      </c>
      <c r="I182" s="30">
        <v>1097040</v>
      </c>
      <c r="J182" s="26">
        <v>0</v>
      </c>
      <c r="K182" s="26">
        <f t="shared" ref="K182" si="49">I182-J182</f>
        <v>1097040</v>
      </c>
      <c r="L182" s="28">
        <v>1097040</v>
      </c>
      <c r="M182" s="28">
        <f t="shared" si="47"/>
        <v>0</v>
      </c>
      <c r="N182" s="36" t="s">
        <v>68</v>
      </c>
      <c r="O182" s="29" t="s">
        <v>69</v>
      </c>
      <c r="P182" s="29" t="s">
        <v>73</v>
      </c>
      <c r="Q182" s="29"/>
      <c r="S182" s="7" t="s">
        <v>289</v>
      </c>
      <c r="T182" s="7" t="s">
        <v>72</v>
      </c>
      <c r="U182" s="7" t="s">
        <v>72</v>
      </c>
      <c r="V182" s="7" t="s">
        <v>72</v>
      </c>
    </row>
    <row r="183" spans="1:27" x14ac:dyDescent="0.3">
      <c r="A183" s="29" t="s">
        <v>275</v>
      </c>
      <c r="B183" s="29" t="s">
        <v>291</v>
      </c>
      <c r="C183" s="29" t="s">
        <v>292</v>
      </c>
      <c r="D183" s="29" t="s">
        <v>94</v>
      </c>
      <c r="E183" s="29"/>
      <c r="F183" s="48">
        <v>45444</v>
      </c>
      <c r="G183" s="48">
        <v>45535</v>
      </c>
      <c r="H183" s="29">
        <v>2024</v>
      </c>
      <c r="I183" s="30">
        <v>1699077</v>
      </c>
      <c r="J183" s="26">
        <v>0</v>
      </c>
      <c r="K183" s="26">
        <f t="shared" si="28"/>
        <v>1699077</v>
      </c>
      <c r="L183" s="28">
        <v>1699077</v>
      </c>
      <c r="M183" s="28">
        <f t="shared" si="47"/>
        <v>0</v>
      </c>
      <c r="N183" s="36" t="s">
        <v>68</v>
      </c>
      <c r="O183" s="29" t="s">
        <v>69</v>
      </c>
      <c r="P183" s="29" t="s">
        <v>73</v>
      </c>
      <c r="Q183" s="29"/>
      <c r="S183" s="7" t="s">
        <v>293</v>
      </c>
      <c r="T183" s="7" t="s">
        <v>72</v>
      </c>
      <c r="U183" s="7" t="s">
        <v>72</v>
      </c>
      <c r="V183" s="7"/>
    </row>
    <row r="184" spans="1:27" x14ac:dyDescent="0.3">
      <c r="A184" s="29" t="s">
        <v>275</v>
      </c>
      <c r="B184" s="29" t="s">
        <v>291</v>
      </c>
      <c r="C184" s="29" t="s">
        <v>292</v>
      </c>
      <c r="D184" s="29" t="s">
        <v>94</v>
      </c>
      <c r="E184" s="29"/>
      <c r="F184" s="48">
        <v>45444</v>
      </c>
      <c r="G184" s="48">
        <v>45535</v>
      </c>
      <c r="H184" s="29">
        <v>2024</v>
      </c>
      <c r="I184" s="30">
        <v>300923</v>
      </c>
      <c r="J184" s="26">
        <v>0</v>
      </c>
      <c r="K184" s="26">
        <f t="shared" ref="K184" si="50">I184-J184</f>
        <v>300923</v>
      </c>
      <c r="L184" s="28">
        <v>0</v>
      </c>
      <c r="M184" s="28">
        <f t="shared" si="47"/>
        <v>300923</v>
      </c>
      <c r="N184" s="36" t="s">
        <v>68</v>
      </c>
      <c r="O184" s="29" t="s">
        <v>69</v>
      </c>
      <c r="P184" s="29" t="s">
        <v>73</v>
      </c>
      <c r="Q184" s="29"/>
      <c r="R184" t="s">
        <v>274</v>
      </c>
      <c r="S184" s="7"/>
      <c r="T184" s="7"/>
      <c r="U184" s="7"/>
      <c r="V184" s="7"/>
    </row>
    <row r="185" spans="1:27" s="7" customFormat="1" x14ac:dyDescent="0.3">
      <c r="A185" s="67" t="s">
        <v>275</v>
      </c>
      <c r="B185" s="29" t="s">
        <v>173</v>
      </c>
      <c r="C185" s="67" t="s">
        <v>294</v>
      </c>
      <c r="D185" s="29" t="s">
        <v>94</v>
      </c>
      <c r="E185" s="29"/>
      <c r="F185" s="68">
        <v>45566</v>
      </c>
      <c r="G185" s="68">
        <v>45657</v>
      </c>
      <c r="H185" s="67">
        <v>2024</v>
      </c>
      <c r="I185" s="30">
        <v>2711022</v>
      </c>
      <c r="J185" s="26">
        <v>0</v>
      </c>
      <c r="K185" s="26">
        <f t="shared" si="28"/>
        <v>2711022</v>
      </c>
      <c r="L185" s="69">
        <v>2711022</v>
      </c>
      <c r="M185" s="28">
        <f t="shared" si="47"/>
        <v>0</v>
      </c>
      <c r="N185" s="36" t="s">
        <v>68</v>
      </c>
      <c r="O185" s="67" t="s">
        <v>69</v>
      </c>
      <c r="P185" s="67" t="s">
        <v>73</v>
      </c>
      <c r="Q185" s="29"/>
      <c r="R185" s="7" t="s">
        <v>267</v>
      </c>
      <c r="S185" s="7" t="s">
        <v>281</v>
      </c>
    </row>
    <row r="186" spans="1:27" s="7" customFormat="1" x14ac:dyDescent="0.3">
      <c r="A186" s="67" t="s">
        <v>275</v>
      </c>
      <c r="B186" s="29" t="s">
        <v>173</v>
      </c>
      <c r="C186" s="67" t="s">
        <v>295</v>
      </c>
      <c r="D186" s="29" t="s">
        <v>94</v>
      </c>
      <c r="E186" s="29"/>
      <c r="F186" s="68">
        <v>45566</v>
      </c>
      <c r="G186" s="68">
        <v>45657</v>
      </c>
      <c r="H186" s="67">
        <v>2024</v>
      </c>
      <c r="I186" s="30">
        <v>2288978</v>
      </c>
      <c r="J186" s="26">
        <v>0</v>
      </c>
      <c r="K186" s="26">
        <f t="shared" ref="K186" si="51">I186-J186</f>
        <v>2288978</v>
      </c>
      <c r="L186" s="69">
        <v>2288978</v>
      </c>
      <c r="M186" s="28">
        <f t="shared" si="47"/>
        <v>0</v>
      </c>
      <c r="N186" s="36" t="s">
        <v>68</v>
      </c>
      <c r="O186" s="67" t="s">
        <v>69</v>
      </c>
      <c r="P186" s="67" t="s">
        <v>73</v>
      </c>
      <c r="Q186" s="29"/>
      <c r="R186" s="7" t="s">
        <v>267</v>
      </c>
      <c r="S186" s="7" t="s">
        <v>296</v>
      </c>
    </row>
    <row r="187" spans="1:27" s="7" customFormat="1" x14ac:dyDescent="0.3">
      <c r="A187" s="67" t="s">
        <v>275</v>
      </c>
      <c r="B187" s="29" t="s">
        <v>173</v>
      </c>
      <c r="C187" s="67" t="s">
        <v>295</v>
      </c>
      <c r="D187" s="29" t="s">
        <v>94</v>
      </c>
      <c r="E187" s="29"/>
      <c r="F187" s="68">
        <v>45566</v>
      </c>
      <c r="G187" s="68">
        <v>45657</v>
      </c>
      <c r="H187" s="67">
        <v>2024</v>
      </c>
      <c r="I187" s="30">
        <v>5000000</v>
      </c>
      <c r="J187" s="26">
        <v>0</v>
      </c>
      <c r="K187" s="26">
        <f t="shared" si="28"/>
        <v>5000000</v>
      </c>
      <c r="L187" s="69">
        <v>5000000</v>
      </c>
      <c r="M187" s="28">
        <f t="shared" si="47"/>
        <v>0</v>
      </c>
      <c r="N187" s="36" t="s">
        <v>68</v>
      </c>
      <c r="O187" s="67" t="s">
        <v>69</v>
      </c>
      <c r="P187" s="67" t="s">
        <v>77</v>
      </c>
      <c r="Q187" s="29"/>
      <c r="R187" s="7" t="s">
        <v>267</v>
      </c>
      <c r="S187" s="7" t="s">
        <v>296</v>
      </c>
    </row>
    <row r="188" spans="1:27" s="7" customFormat="1" x14ac:dyDescent="0.3">
      <c r="A188" s="67" t="s">
        <v>275</v>
      </c>
      <c r="B188" s="29" t="s">
        <v>178</v>
      </c>
      <c r="C188" s="67" t="s">
        <v>297</v>
      </c>
      <c r="D188" s="29" t="s">
        <v>94</v>
      </c>
      <c r="E188" s="29"/>
      <c r="F188" s="68">
        <v>45577</v>
      </c>
      <c r="G188" s="68">
        <v>45657</v>
      </c>
      <c r="H188" s="67">
        <v>2024</v>
      </c>
      <c r="I188" s="30">
        <v>2000000</v>
      </c>
      <c r="J188" s="26">
        <v>0</v>
      </c>
      <c r="K188" s="26">
        <f t="shared" si="28"/>
        <v>2000000</v>
      </c>
      <c r="L188" s="69">
        <v>2000000</v>
      </c>
      <c r="M188" s="28">
        <f t="shared" si="47"/>
        <v>0</v>
      </c>
      <c r="N188" s="36" t="s">
        <v>68</v>
      </c>
      <c r="O188" s="67" t="s">
        <v>69</v>
      </c>
      <c r="P188" s="67" t="s">
        <v>73</v>
      </c>
      <c r="Q188" s="29"/>
      <c r="R188" s="7" t="s">
        <v>267</v>
      </c>
      <c r="S188" s="7" t="s">
        <v>296</v>
      </c>
      <c r="AA188" s="7" t="str">
        <f>VLOOKUP(C188,[1]Sheet1!$C:$U,18,0)</f>
        <v/>
      </c>
    </row>
    <row r="189" spans="1:27" s="7" customFormat="1" x14ac:dyDescent="0.3">
      <c r="A189" s="67" t="s">
        <v>275</v>
      </c>
      <c r="B189" s="29" t="s">
        <v>180</v>
      </c>
      <c r="C189" s="67" t="s">
        <v>298</v>
      </c>
      <c r="D189" s="29" t="s">
        <v>94</v>
      </c>
      <c r="E189" s="29"/>
      <c r="F189" s="68">
        <v>45577</v>
      </c>
      <c r="G189" s="68">
        <v>45657</v>
      </c>
      <c r="H189" s="67">
        <v>2024</v>
      </c>
      <c r="I189" s="30">
        <v>710086</v>
      </c>
      <c r="J189" s="26">
        <v>0</v>
      </c>
      <c r="K189" s="26">
        <f t="shared" si="28"/>
        <v>710086</v>
      </c>
      <c r="L189" s="69">
        <v>710086</v>
      </c>
      <c r="M189" s="28">
        <f t="shared" si="47"/>
        <v>0</v>
      </c>
      <c r="N189" s="36" t="s">
        <v>68</v>
      </c>
      <c r="O189" s="67" t="s">
        <v>69</v>
      </c>
      <c r="P189" s="67" t="s">
        <v>73</v>
      </c>
      <c r="Q189" s="29"/>
      <c r="R189" s="7" t="s">
        <v>267</v>
      </c>
      <c r="S189" s="7" t="s">
        <v>296</v>
      </c>
      <c r="AA189" s="7" t="str">
        <f>VLOOKUP(C189,[1]Sheet1!$C:$U,18,0)</f>
        <v/>
      </c>
    </row>
    <row r="190" spans="1:27" x14ac:dyDescent="0.3">
      <c r="A190" s="29" t="s">
        <v>275</v>
      </c>
      <c r="B190" s="29" t="s">
        <v>180</v>
      </c>
      <c r="C190" s="29" t="s">
        <v>298</v>
      </c>
      <c r="D190" s="29" t="s">
        <v>94</v>
      </c>
      <c r="E190" s="29"/>
      <c r="F190" s="48">
        <v>45577</v>
      </c>
      <c r="G190" s="48">
        <v>45657</v>
      </c>
      <c r="H190" s="29">
        <v>2024</v>
      </c>
      <c r="I190" s="30">
        <v>7289914</v>
      </c>
      <c r="J190" s="26">
        <v>0</v>
      </c>
      <c r="K190" s="26">
        <f t="shared" ref="K190" si="52">I190-J190</f>
        <v>7289914</v>
      </c>
      <c r="L190" s="28">
        <v>0</v>
      </c>
      <c r="M190" s="28">
        <f t="shared" si="47"/>
        <v>7289914</v>
      </c>
      <c r="N190" s="36" t="s">
        <v>68</v>
      </c>
      <c r="O190" s="29" t="s">
        <v>69</v>
      </c>
      <c r="P190" s="29" t="s">
        <v>73</v>
      </c>
      <c r="Q190" s="29"/>
      <c r="S190" s="7"/>
      <c r="T190" s="7"/>
      <c r="U190" s="7"/>
      <c r="V190" s="7"/>
    </row>
    <row r="191" spans="1:27" x14ac:dyDescent="0.3">
      <c r="A191" s="29" t="s">
        <v>299</v>
      </c>
      <c r="B191" s="29" t="s">
        <v>74</v>
      </c>
      <c r="C191" s="29" t="s">
        <v>300</v>
      </c>
      <c r="D191" s="29" t="s">
        <v>67</v>
      </c>
      <c r="E191" s="29"/>
      <c r="F191" s="48">
        <v>45303</v>
      </c>
      <c r="G191" s="48">
        <v>45382</v>
      </c>
      <c r="H191" s="29">
        <v>2024</v>
      </c>
      <c r="I191" s="30">
        <v>1000000</v>
      </c>
      <c r="J191" s="26">
        <v>944137</v>
      </c>
      <c r="K191" s="26">
        <v>0</v>
      </c>
      <c r="L191" s="28">
        <v>0</v>
      </c>
      <c r="M191" s="27">
        <f t="shared" si="47"/>
        <v>0</v>
      </c>
      <c r="N191" s="36" t="s">
        <v>68</v>
      </c>
      <c r="O191" s="29" t="s">
        <v>69</v>
      </c>
      <c r="P191" s="29" t="s">
        <v>70</v>
      </c>
      <c r="Q191" s="29"/>
      <c r="S191" s="7" t="s">
        <v>277</v>
      </c>
      <c r="T191" s="7" t="s">
        <v>72</v>
      </c>
      <c r="U191" s="7" t="s">
        <v>72</v>
      </c>
      <c r="V191" s="7" t="s">
        <v>72</v>
      </c>
      <c r="AA191" t="str">
        <f>VLOOKUP(C191,[1]Sheet1!$C:$U,18,0)</f>
        <v/>
      </c>
    </row>
    <row r="192" spans="1:27" x14ac:dyDescent="0.3">
      <c r="A192" s="29" t="s">
        <v>299</v>
      </c>
      <c r="B192" s="29" t="s">
        <v>74</v>
      </c>
      <c r="C192" s="29" t="s">
        <v>300</v>
      </c>
      <c r="D192" s="29" t="s">
        <v>67</v>
      </c>
      <c r="E192" s="29"/>
      <c r="F192" s="48">
        <v>45303</v>
      </c>
      <c r="G192" s="48">
        <v>45382</v>
      </c>
      <c r="H192" s="29">
        <v>2024</v>
      </c>
      <c r="I192" s="30">
        <v>1500000</v>
      </c>
      <c r="J192" s="26">
        <v>1500000</v>
      </c>
      <c r="K192" s="26">
        <v>0</v>
      </c>
      <c r="L192" s="28">
        <v>0</v>
      </c>
      <c r="M192" s="27">
        <f t="shared" si="47"/>
        <v>0</v>
      </c>
      <c r="N192" s="36" t="s">
        <v>68</v>
      </c>
      <c r="O192" s="29" t="s">
        <v>69</v>
      </c>
      <c r="P192" s="29" t="s">
        <v>77</v>
      </c>
      <c r="Q192" s="29"/>
      <c r="S192" s="7" t="s">
        <v>277</v>
      </c>
      <c r="T192" s="7" t="s">
        <v>72</v>
      </c>
      <c r="U192" s="7" t="s">
        <v>72</v>
      </c>
      <c r="V192" s="7" t="s">
        <v>72</v>
      </c>
      <c r="AA192" t="str">
        <f>VLOOKUP(C192,[1]Sheet1!$C:$U,18,0)</f>
        <v/>
      </c>
    </row>
    <row r="193" spans="1:27" x14ac:dyDescent="0.3">
      <c r="A193" s="29" t="s">
        <v>299</v>
      </c>
      <c r="B193" s="29" t="s">
        <v>74</v>
      </c>
      <c r="C193" s="29" t="s">
        <v>300</v>
      </c>
      <c r="D193" s="29" t="s">
        <v>67</v>
      </c>
      <c r="E193" s="29"/>
      <c r="F193" s="48">
        <v>45303</v>
      </c>
      <c r="G193" s="48">
        <v>45382</v>
      </c>
      <c r="H193" s="29">
        <v>2024</v>
      </c>
      <c r="I193" s="30">
        <v>1500000</v>
      </c>
      <c r="J193" s="26">
        <v>1500000</v>
      </c>
      <c r="K193" s="26">
        <v>0</v>
      </c>
      <c r="L193" s="28">
        <v>0</v>
      </c>
      <c r="M193" s="27">
        <f t="shared" si="47"/>
        <v>0</v>
      </c>
      <c r="N193" s="36" t="s">
        <v>68</v>
      </c>
      <c r="O193" s="29" t="s">
        <v>69</v>
      </c>
      <c r="P193" s="29" t="s">
        <v>73</v>
      </c>
      <c r="Q193" s="29"/>
      <c r="S193" s="7" t="s">
        <v>277</v>
      </c>
      <c r="T193" s="7" t="s">
        <v>72</v>
      </c>
      <c r="U193" s="7" t="s">
        <v>72</v>
      </c>
      <c r="V193" s="7" t="s">
        <v>72</v>
      </c>
      <c r="AA193" t="str">
        <f>VLOOKUP(C193,[1]Sheet1!$C:$U,18,0)</f>
        <v/>
      </c>
    </row>
    <row r="194" spans="1:27" x14ac:dyDescent="0.3">
      <c r="A194" s="29" t="s">
        <v>299</v>
      </c>
      <c r="B194" s="29" t="s">
        <v>102</v>
      </c>
      <c r="C194" s="29" t="s">
        <v>301</v>
      </c>
      <c r="D194" s="29" t="s">
        <v>67</v>
      </c>
      <c r="E194" s="29"/>
      <c r="F194" s="48">
        <v>45385</v>
      </c>
      <c r="G194" s="48">
        <v>45504</v>
      </c>
      <c r="H194" s="29">
        <v>2024</v>
      </c>
      <c r="I194" s="30">
        <v>3000000</v>
      </c>
      <c r="J194" s="26"/>
      <c r="K194" s="26">
        <f t="shared" ref="K194:K224" si="53">I194-J194</f>
        <v>3000000</v>
      </c>
      <c r="L194" s="28">
        <v>3000000</v>
      </c>
      <c r="M194" s="28">
        <f t="shared" ref="M194:M200" si="54">K194-L194</f>
        <v>0</v>
      </c>
      <c r="N194" s="36" t="s">
        <v>68</v>
      </c>
      <c r="O194" s="29" t="s">
        <v>69</v>
      </c>
      <c r="P194" s="29" t="s">
        <v>70</v>
      </c>
      <c r="Q194" s="29"/>
      <c r="S194" s="7" t="s">
        <v>286</v>
      </c>
      <c r="T194" s="7" t="s">
        <v>72</v>
      </c>
      <c r="U194" s="7" t="s">
        <v>72</v>
      </c>
      <c r="V194" s="7" t="s">
        <v>72</v>
      </c>
      <c r="AA194" t="str">
        <f>VLOOKUP(C194,[1]Sheet1!$C:$U,18,0)</f>
        <v/>
      </c>
    </row>
    <row r="195" spans="1:27" x14ac:dyDescent="0.3">
      <c r="A195" s="29" t="s">
        <v>299</v>
      </c>
      <c r="B195" s="29" t="s">
        <v>102</v>
      </c>
      <c r="C195" s="29" t="s">
        <v>301</v>
      </c>
      <c r="D195" s="29" t="s">
        <v>67</v>
      </c>
      <c r="E195" s="29"/>
      <c r="F195" s="48">
        <v>45385</v>
      </c>
      <c r="G195" s="48">
        <v>45504</v>
      </c>
      <c r="H195" s="29">
        <v>2024</v>
      </c>
      <c r="I195" s="30">
        <v>1000000</v>
      </c>
      <c r="J195" s="26"/>
      <c r="K195" s="26">
        <f t="shared" si="53"/>
        <v>1000000</v>
      </c>
      <c r="L195" s="28">
        <v>1000000</v>
      </c>
      <c r="M195" s="28">
        <f t="shared" si="54"/>
        <v>0</v>
      </c>
      <c r="N195" s="36" t="s">
        <v>68</v>
      </c>
      <c r="O195" s="29" t="s">
        <v>69</v>
      </c>
      <c r="P195" s="29" t="s">
        <v>77</v>
      </c>
      <c r="Q195" s="29"/>
      <c r="S195" s="7" t="s">
        <v>286</v>
      </c>
      <c r="T195" s="7" t="s">
        <v>72</v>
      </c>
      <c r="U195" s="7" t="s">
        <v>72</v>
      </c>
      <c r="V195" s="7" t="s">
        <v>72</v>
      </c>
      <c r="AA195" t="str">
        <f>VLOOKUP(C195,[1]Sheet1!$C:$U,18,0)</f>
        <v/>
      </c>
    </row>
    <row r="196" spans="1:27" x14ac:dyDescent="0.3">
      <c r="A196" s="29" t="s">
        <v>299</v>
      </c>
      <c r="B196" s="29" t="s">
        <v>102</v>
      </c>
      <c r="C196" s="29" t="s">
        <v>301</v>
      </c>
      <c r="D196" s="29" t="s">
        <v>67</v>
      </c>
      <c r="E196" s="29"/>
      <c r="F196" s="48">
        <v>45385</v>
      </c>
      <c r="G196" s="48">
        <v>45504</v>
      </c>
      <c r="H196" s="29">
        <v>2024</v>
      </c>
      <c r="I196" s="30">
        <v>4000000</v>
      </c>
      <c r="J196" s="26"/>
      <c r="K196" s="26">
        <f t="shared" si="53"/>
        <v>4000000</v>
      </c>
      <c r="L196" s="28">
        <v>4000000</v>
      </c>
      <c r="M196" s="28">
        <f t="shared" si="54"/>
        <v>0</v>
      </c>
      <c r="N196" s="36" t="s">
        <v>68</v>
      </c>
      <c r="O196" s="29" t="s">
        <v>69</v>
      </c>
      <c r="P196" s="29" t="s">
        <v>73</v>
      </c>
      <c r="Q196" s="29"/>
      <c r="S196" s="7" t="s">
        <v>286</v>
      </c>
      <c r="T196" s="7" t="s">
        <v>72</v>
      </c>
      <c r="U196" s="7" t="s">
        <v>72</v>
      </c>
      <c r="V196" s="7" t="s">
        <v>72</v>
      </c>
      <c r="AA196" t="str">
        <f>VLOOKUP(C196,[1]Sheet1!$C:$U,18,0)</f>
        <v/>
      </c>
    </row>
    <row r="197" spans="1:27" x14ac:dyDescent="0.3">
      <c r="A197" s="29" t="s">
        <v>299</v>
      </c>
      <c r="B197" s="29" t="s">
        <v>291</v>
      </c>
      <c r="C197" s="29" t="s">
        <v>302</v>
      </c>
      <c r="D197" s="29" t="s">
        <v>94</v>
      </c>
      <c r="E197" s="29"/>
      <c r="F197" s="48">
        <v>45444</v>
      </c>
      <c r="G197" s="48">
        <v>45535</v>
      </c>
      <c r="H197" s="29">
        <v>2024</v>
      </c>
      <c r="I197" s="30">
        <v>2000000</v>
      </c>
      <c r="J197" s="26">
        <v>0</v>
      </c>
      <c r="K197" s="26">
        <f t="shared" si="53"/>
        <v>2000000</v>
      </c>
      <c r="L197" s="28">
        <v>0</v>
      </c>
      <c r="M197" s="28">
        <f t="shared" si="54"/>
        <v>2000000</v>
      </c>
      <c r="N197" s="36" t="s">
        <v>68</v>
      </c>
      <c r="O197" s="29" t="s">
        <v>69</v>
      </c>
      <c r="P197" s="29" t="s">
        <v>73</v>
      </c>
      <c r="Q197" s="29"/>
      <c r="R197" t="s">
        <v>274</v>
      </c>
      <c r="S197" s="7"/>
      <c r="T197" s="7"/>
      <c r="U197" s="7"/>
      <c r="V197" s="7"/>
      <c r="AA197" t="str">
        <f>VLOOKUP(C197,[1]Sheet1!$C:$U,18,0)</f>
        <v/>
      </c>
    </row>
    <row r="198" spans="1:27" s="7" customFormat="1" x14ac:dyDescent="0.3">
      <c r="A198" s="67" t="s">
        <v>299</v>
      </c>
      <c r="B198" s="29" t="s">
        <v>173</v>
      </c>
      <c r="C198" s="67" t="s">
        <v>303</v>
      </c>
      <c r="D198" s="29" t="s">
        <v>94</v>
      </c>
      <c r="E198" s="29"/>
      <c r="F198" s="68">
        <v>45566</v>
      </c>
      <c r="G198" s="68">
        <v>45657</v>
      </c>
      <c r="H198" s="67">
        <v>2024</v>
      </c>
      <c r="I198" s="30">
        <v>6500000</v>
      </c>
      <c r="J198" s="26">
        <v>0</v>
      </c>
      <c r="K198" s="26">
        <f t="shared" si="53"/>
        <v>6500000</v>
      </c>
      <c r="L198" s="69">
        <v>6500000</v>
      </c>
      <c r="M198" s="28">
        <f t="shared" si="54"/>
        <v>0</v>
      </c>
      <c r="N198" s="36" t="s">
        <v>68</v>
      </c>
      <c r="O198" s="67" t="s">
        <v>69</v>
      </c>
      <c r="P198" s="67" t="s">
        <v>73</v>
      </c>
      <c r="Q198" s="29"/>
      <c r="R198" s="7" t="s">
        <v>267</v>
      </c>
      <c r="S198" s="7" t="s">
        <v>304</v>
      </c>
      <c r="AA198" s="7" t="str">
        <f>VLOOKUP(C198,[1]Sheet1!$C:$U,18,0)</f>
        <v/>
      </c>
    </row>
    <row r="199" spans="1:27" s="7" customFormat="1" x14ac:dyDescent="0.3">
      <c r="A199" s="67" t="s">
        <v>299</v>
      </c>
      <c r="B199" s="29" t="s">
        <v>173</v>
      </c>
      <c r="C199" s="67" t="s">
        <v>303</v>
      </c>
      <c r="D199" s="29" t="s">
        <v>94</v>
      </c>
      <c r="E199" s="29"/>
      <c r="F199" s="68">
        <v>45566</v>
      </c>
      <c r="G199" s="68">
        <v>45657</v>
      </c>
      <c r="H199" s="67">
        <v>2024</v>
      </c>
      <c r="I199" s="30">
        <v>6500000</v>
      </c>
      <c r="J199" s="26">
        <v>0</v>
      </c>
      <c r="K199" s="26">
        <f t="shared" si="53"/>
        <v>6500000</v>
      </c>
      <c r="L199" s="69">
        <v>6500000</v>
      </c>
      <c r="M199" s="28">
        <f t="shared" si="54"/>
        <v>0</v>
      </c>
      <c r="N199" s="36" t="s">
        <v>68</v>
      </c>
      <c r="O199" s="67" t="s">
        <v>69</v>
      </c>
      <c r="P199" s="67" t="s">
        <v>77</v>
      </c>
      <c r="Q199" s="29"/>
      <c r="R199" s="7" t="s">
        <v>267</v>
      </c>
      <c r="S199" s="7" t="s">
        <v>305</v>
      </c>
      <c r="AA199" s="7" t="str">
        <f>VLOOKUP(C199,[1]Sheet1!$C:$U,18,0)</f>
        <v/>
      </c>
    </row>
    <row r="200" spans="1:27" s="7" customFormat="1" x14ac:dyDescent="0.3">
      <c r="A200" s="67" t="s">
        <v>299</v>
      </c>
      <c r="B200" s="29" t="s">
        <v>178</v>
      </c>
      <c r="C200" s="67" t="s">
        <v>306</v>
      </c>
      <c r="D200" s="29" t="s">
        <v>94</v>
      </c>
      <c r="E200" s="29"/>
      <c r="F200" s="68">
        <v>45577</v>
      </c>
      <c r="G200" s="68">
        <v>45657</v>
      </c>
      <c r="H200" s="67">
        <v>2024</v>
      </c>
      <c r="I200" s="30">
        <v>1500000</v>
      </c>
      <c r="J200" s="26">
        <v>0</v>
      </c>
      <c r="K200" s="26">
        <f t="shared" si="53"/>
        <v>1500000</v>
      </c>
      <c r="L200" s="69">
        <v>1500000</v>
      </c>
      <c r="M200" s="28">
        <f t="shared" si="54"/>
        <v>0</v>
      </c>
      <c r="N200" s="36" t="s">
        <v>68</v>
      </c>
      <c r="O200" s="67" t="s">
        <v>69</v>
      </c>
      <c r="P200" s="67" t="s">
        <v>70</v>
      </c>
      <c r="Q200" s="29"/>
      <c r="R200" s="7" t="s">
        <v>267</v>
      </c>
      <c r="S200" s="7" t="s">
        <v>305</v>
      </c>
      <c r="AA200" s="7" t="str">
        <f>VLOOKUP(C200,[1]Sheet1!$C:$U,18,0)</f>
        <v/>
      </c>
    </row>
    <row r="201" spans="1:27" x14ac:dyDescent="0.3">
      <c r="A201" s="29" t="s">
        <v>307</v>
      </c>
      <c r="B201" s="29" t="s">
        <v>65</v>
      </c>
      <c r="C201" s="29" t="s">
        <v>308</v>
      </c>
      <c r="D201" s="29" t="s">
        <v>94</v>
      </c>
      <c r="E201" s="29"/>
      <c r="F201" s="48">
        <v>45301</v>
      </c>
      <c r="G201" s="48">
        <v>45382</v>
      </c>
      <c r="H201" s="29">
        <v>2024</v>
      </c>
      <c r="I201" s="30">
        <v>473069</v>
      </c>
      <c r="J201" s="26">
        <v>473069</v>
      </c>
      <c r="K201" s="26">
        <f t="shared" si="53"/>
        <v>0</v>
      </c>
      <c r="L201" s="28">
        <v>0</v>
      </c>
      <c r="M201" s="28">
        <f>K201-L201</f>
        <v>0</v>
      </c>
      <c r="N201" s="36" t="s">
        <v>68</v>
      </c>
      <c r="O201" s="29" t="s">
        <v>69</v>
      </c>
      <c r="P201" s="29" t="s">
        <v>70</v>
      </c>
      <c r="Q201" s="29"/>
      <c r="S201" s="7" t="s">
        <v>184</v>
      </c>
      <c r="T201" s="7" t="s">
        <v>72</v>
      </c>
      <c r="U201" s="7" t="s">
        <v>72</v>
      </c>
      <c r="V201" s="7" t="s">
        <v>72</v>
      </c>
      <c r="AA201" t="str">
        <f>VLOOKUP(C201,[1]Sheet1!$C:$U,18,0)</f>
        <v/>
      </c>
    </row>
    <row r="202" spans="1:27" x14ac:dyDescent="0.3">
      <c r="A202" s="29" t="s">
        <v>307</v>
      </c>
      <c r="B202" s="29" t="s">
        <v>65</v>
      </c>
      <c r="C202" s="29" t="s">
        <v>308</v>
      </c>
      <c r="D202" s="29" t="s">
        <v>94</v>
      </c>
      <c r="E202" s="29"/>
      <c r="F202" s="48">
        <v>45301</v>
      </c>
      <c r="G202" s="48">
        <v>45382</v>
      </c>
      <c r="H202" s="29">
        <v>2024</v>
      </c>
      <c r="I202" s="30">
        <v>540706</v>
      </c>
      <c r="J202" s="26">
        <v>409341</v>
      </c>
      <c r="K202" s="26">
        <f t="shared" ref="K202" si="55">I202-J202</f>
        <v>131365</v>
      </c>
      <c r="L202" s="28">
        <v>0</v>
      </c>
      <c r="M202" s="28">
        <f t="shared" ref="M202:M284" si="56">K202-L202</f>
        <v>131365</v>
      </c>
      <c r="N202" s="36" t="s">
        <v>68</v>
      </c>
      <c r="O202" s="29" t="s">
        <v>69</v>
      </c>
      <c r="P202" s="29" t="s">
        <v>70</v>
      </c>
      <c r="Q202" s="29"/>
      <c r="R202" t="s">
        <v>274</v>
      </c>
      <c r="S202" s="7" t="s">
        <v>309</v>
      </c>
      <c r="T202" s="7" t="s">
        <v>72</v>
      </c>
      <c r="U202" s="7" t="s">
        <v>72</v>
      </c>
      <c r="V202" s="7"/>
    </row>
    <row r="203" spans="1:27" x14ac:dyDescent="0.3">
      <c r="A203" s="29" t="s">
        <v>307</v>
      </c>
      <c r="B203" s="29" t="s">
        <v>65</v>
      </c>
      <c r="C203" s="29" t="s">
        <v>308</v>
      </c>
      <c r="D203" s="29" t="s">
        <v>94</v>
      </c>
      <c r="E203" s="29"/>
      <c r="F203" s="48">
        <v>45301</v>
      </c>
      <c r="G203" s="48">
        <v>45382</v>
      </c>
      <c r="H203" s="29">
        <v>2024</v>
      </c>
      <c r="I203" s="30">
        <v>3613775</v>
      </c>
      <c r="J203" s="26">
        <v>3613775</v>
      </c>
      <c r="K203" s="26">
        <f t="shared" si="53"/>
        <v>0</v>
      </c>
      <c r="L203" s="28">
        <v>0</v>
      </c>
      <c r="M203" s="28">
        <f t="shared" si="56"/>
        <v>0</v>
      </c>
      <c r="N203" s="36" t="s">
        <v>68</v>
      </c>
      <c r="O203" s="29" t="s">
        <v>69</v>
      </c>
      <c r="P203" s="29" t="s">
        <v>73</v>
      </c>
      <c r="Q203" s="29"/>
      <c r="S203" s="7" t="s">
        <v>184</v>
      </c>
      <c r="T203" s="7" t="s">
        <v>72</v>
      </c>
      <c r="U203" s="7" t="s">
        <v>72</v>
      </c>
      <c r="V203" s="7" t="s">
        <v>72</v>
      </c>
      <c r="AA203" t="str">
        <f>VLOOKUP(C203,[1]Sheet1!$C:$U,18,0)</f>
        <v/>
      </c>
    </row>
    <row r="204" spans="1:27" x14ac:dyDescent="0.3">
      <c r="A204" s="29" t="s">
        <v>307</v>
      </c>
      <c r="B204" s="29" t="s">
        <v>74</v>
      </c>
      <c r="C204" s="29" t="s">
        <v>310</v>
      </c>
      <c r="D204" s="29" t="s">
        <v>67</v>
      </c>
      <c r="E204" s="29"/>
      <c r="F204" s="48">
        <v>45303</v>
      </c>
      <c r="G204" s="48">
        <v>45382</v>
      </c>
      <c r="H204" s="29">
        <v>2024</v>
      </c>
      <c r="I204" s="30">
        <v>10000000</v>
      </c>
      <c r="J204" s="26">
        <v>10000000</v>
      </c>
      <c r="K204" s="26">
        <v>0</v>
      </c>
      <c r="L204" s="28">
        <v>0</v>
      </c>
      <c r="M204" s="28">
        <f t="shared" si="56"/>
        <v>0</v>
      </c>
      <c r="N204" s="36" t="s">
        <v>68</v>
      </c>
      <c r="O204" s="29" t="s">
        <v>69</v>
      </c>
      <c r="P204" s="29" t="s">
        <v>70</v>
      </c>
      <c r="Q204" s="29"/>
      <c r="S204" s="7" t="s">
        <v>272</v>
      </c>
      <c r="T204" s="7" t="s">
        <v>72</v>
      </c>
      <c r="U204" s="7" t="s">
        <v>72</v>
      </c>
      <c r="V204" s="7" t="s">
        <v>72</v>
      </c>
      <c r="AA204" t="str">
        <f>VLOOKUP(C204,[1]Sheet1!$C:$U,18,0)</f>
        <v/>
      </c>
    </row>
    <row r="205" spans="1:27" x14ac:dyDescent="0.3">
      <c r="A205" s="29" t="s">
        <v>307</v>
      </c>
      <c r="B205" s="29" t="s">
        <v>74</v>
      </c>
      <c r="C205" s="29" t="s">
        <v>310</v>
      </c>
      <c r="D205" s="29" t="s">
        <v>67</v>
      </c>
      <c r="E205" s="29"/>
      <c r="F205" s="48">
        <v>45303</v>
      </c>
      <c r="G205" s="48">
        <v>45382</v>
      </c>
      <c r="H205" s="29">
        <v>2024</v>
      </c>
      <c r="I205" s="30">
        <v>21000000</v>
      </c>
      <c r="J205" s="26">
        <v>21000000</v>
      </c>
      <c r="K205" s="26">
        <v>0</v>
      </c>
      <c r="L205" s="28">
        <v>0</v>
      </c>
      <c r="M205" s="28">
        <f t="shared" si="56"/>
        <v>0</v>
      </c>
      <c r="N205" s="36" t="s">
        <v>68</v>
      </c>
      <c r="O205" s="29" t="s">
        <v>69</v>
      </c>
      <c r="P205" s="29" t="s">
        <v>73</v>
      </c>
      <c r="Q205" s="29"/>
      <c r="S205" s="7" t="s">
        <v>272</v>
      </c>
      <c r="T205" s="7" t="s">
        <v>72</v>
      </c>
      <c r="U205" s="7" t="s">
        <v>72</v>
      </c>
      <c r="V205" s="7" t="s">
        <v>72</v>
      </c>
      <c r="AA205" t="str">
        <f>VLOOKUP(C205,[1]Sheet1!$C:$U,18,0)</f>
        <v/>
      </c>
    </row>
    <row r="206" spans="1:27" x14ac:dyDescent="0.3">
      <c r="A206" s="29" t="s">
        <v>307</v>
      </c>
      <c r="B206" s="29" t="s">
        <v>74</v>
      </c>
      <c r="C206" s="29" t="s">
        <v>310</v>
      </c>
      <c r="D206" s="29" t="s">
        <v>67</v>
      </c>
      <c r="E206" s="29"/>
      <c r="F206" s="48">
        <v>45303</v>
      </c>
      <c r="G206" s="48">
        <v>45382</v>
      </c>
      <c r="H206" s="29">
        <v>2024</v>
      </c>
      <c r="I206" s="30">
        <v>22000000</v>
      </c>
      <c r="J206" s="26">
        <v>22000000</v>
      </c>
      <c r="K206" s="26">
        <v>0</v>
      </c>
      <c r="L206" s="28">
        <v>0</v>
      </c>
      <c r="M206" s="28">
        <f t="shared" si="56"/>
        <v>0</v>
      </c>
      <c r="N206" s="36" t="s">
        <v>68</v>
      </c>
      <c r="O206" s="29" t="s">
        <v>69</v>
      </c>
      <c r="P206" s="29" t="s">
        <v>77</v>
      </c>
      <c r="Q206" s="29"/>
      <c r="S206" s="7" t="s">
        <v>272</v>
      </c>
      <c r="T206" s="7" t="s">
        <v>72</v>
      </c>
      <c r="U206" s="7" t="s">
        <v>72</v>
      </c>
      <c r="V206" s="7" t="s">
        <v>72</v>
      </c>
      <c r="AA206" t="str">
        <f>VLOOKUP(C206,[1]Sheet1!$C:$U,18,0)</f>
        <v/>
      </c>
    </row>
    <row r="207" spans="1:27" x14ac:dyDescent="0.3">
      <c r="A207" s="29" t="s">
        <v>307</v>
      </c>
      <c r="B207" s="29" t="s">
        <v>74</v>
      </c>
      <c r="C207" s="29" t="s">
        <v>310</v>
      </c>
      <c r="D207" s="29" t="s">
        <v>67</v>
      </c>
      <c r="E207" s="29"/>
      <c r="F207" s="48">
        <v>45303</v>
      </c>
      <c r="G207" s="48">
        <v>45382</v>
      </c>
      <c r="H207" s="29">
        <v>2024</v>
      </c>
      <c r="I207" s="30">
        <v>36000000</v>
      </c>
      <c r="J207" s="26">
        <v>36000000</v>
      </c>
      <c r="K207" s="26">
        <v>0</v>
      </c>
      <c r="L207" s="28">
        <v>0</v>
      </c>
      <c r="M207" s="28">
        <f t="shared" si="56"/>
        <v>0</v>
      </c>
      <c r="N207" s="36" t="s">
        <v>68</v>
      </c>
      <c r="O207" s="29" t="s">
        <v>69</v>
      </c>
      <c r="P207" s="29" t="s">
        <v>78</v>
      </c>
      <c r="Q207" s="29"/>
      <c r="S207" s="7" t="s">
        <v>272</v>
      </c>
      <c r="T207" s="7" t="s">
        <v>72</v>
      </c>
      <c r="U207" s="7" t="s">
        <v>72</v>
      </c>
      <c r="V207" s="7" t="s">
        <v>72</v>
      </c>
      <c r="AA207" t="str">
        <f>VLOOKUP(C207,[1]Sheet1!$C:$U,18,0)</f>
        <v/>
      </c>
    </row>
    <row r="208" spans="1:27" x14ac:dyDescent="0.3">
      <c r="A208" s="29" t="s">
        <v>307</v>
      </c>
      <c r="B208" s="29" t="s">
        <v>74</v>
      </c>
      <c r="C208" s="29" t="s">
        <v>310</v>
      </c>
      <c r="D208" s="29" t="s">
        <v>67</v>
      </c>
      <c r="E208" s="29"/>
      <c r="F208" s="48">
        <v>45303</v>
      </c>
      <c r="G208" s="48">
        <v>45382</v>
      </c>
      <c r="H208" s="29">
        <v>2024</v>
      </c>
      <c r="I208" s="30">
        <v>4000000</v>
      </c>
      <c r="J208" s="26">
        <v>4000000</v>
      </c>
      <c r="K208" s="26">
        <v>0</v>
      </c>
      <c r="L208" s="28">
        <v>0</v>
      </c>
      <c r="M208" s="28">
        <f t="shared" si="56"/>
        <v>0</v>
      </c>
      <c r="N208" s="36" t="s">
        <v>68</v>
      </c>
      <c r="O208" s="29" t="s">
        <v>69</v>
      </c>
      <c r="P208" s="29" t="s">
        <v>311</v>
      </c>
      <c r="Q208" s="29"/>
      <c r="S208" s="7" t="s">
        <v>272</v>
      </c>
      <c r="T208" s="7" t="s">
        <v>72</v>
      </c>
      <c r="U208" s="7" t="s">
        <v>72</v>
      </c>
      <c r="V208" s="7" t="s">
        <v>72</v>
      </c>
      <c r="AA208" t="str">
        <f>VLOOKUP(C208,[1]Sheet1!$C:$U,18,0)</f>
        <v/>
      </c>
    </row>
    <row r="209" spans="1:27" x14ac:dyDescent="0.3">
      <c r="A209" s="29" t="s">
        <v>307</v>
      </c>
      <c r="B209" s="29" t="s">
        <v>312</v>
      </c>
      <c r="C209" s="29" t="s">
        <v>313</v>
      </c>
      <c r="D209" s="29" t="s">
        <v>67</v>
      </c>
      <c r="E209" s="29"/>
      <c r="F209" s="48">
        <v>45337</v>
      </c>
      <c r="G209" s="48">
        <v>45443</v>
      </c>
      <c r="H209" s="29">
        <v>2024</v>
      </c>
      <c r="I209" s="30">
        <v>4000000</v>
      </c>
      <c r="J209" s="26">
        <v>3859770</v>
      </c>
      <c r="K209" s="26">
        <v>0</v>
      </c>
      <c r="L209" s="28">
        <v>0</v>
      </c>
      <c r="M209" s="28">
        <f t="shared" si="56"/>
        <v>0</v>
      </c>
      <c r="N209" s="36" t="s">
        <v>95</v>
      </c>
      <c r="O209" s="29" t="s">
        <v>96</v>
      </c>
      <c r="P209" s="29" t="s">
        <v>73</v>
      </c>
      <c r="Q209" s="29"/>
      <c r="S209" s="7" t="s">
        <v>314</v>
      </c>
      <c r="T209" s="7" t="s">
        <v>72</v>
      </c>
      <c r="U209" s="7" t="s">
        <v>72</v>
      </c>
      <c r="V209" s="7" t="s">
        <v>72</v>
      </c>
      <c r="AA209" t="str">
        <f>VLOOKUP(C209,[1]Sheet1!$C:$U,18,0)</f>
        <v/>
      </c>
    </row>
    <row r="210" spans="1:27" x14ac:dyDescent="0.3">
      <c r="A210" s="29" t="s">
        <v>307</v>
      </c>
      <c r="B210" s="29" t="s">
        <v>79</v>
      </c>
      <c r="C210" s="29" t="s">
        <v>315</v>
      </c>
      <c r="D210" s="29" t="s">
        <v>67</v>
      </c>
      <c r="E210" s="29"/>
      <c r="F210" s="48">
        <v>45337</v>
      </c>
      <c r="G210" s="48">
        <v>45443</v>
      </c>
      <c r="H210" s="29">
        <v>2024</v>
      </c>
      <c r="I210" s="30">
        <v>4000000</v>
      </c>
      <c r="J210" s="26">
        <v>3959933</v>
      </c>
      <c r="K210" s="26">
        <v>0</v>
      </c>
      <c r="L210" s="28">
        <v>0</v>
      </c>
      <c r="M210" s="28">
        <f t="shared" si="56"/>
        <v>0</v>
      </c>
      <c r="N210" s="36" t="s">
        <v>81</v>
      </c>
      <c r="O210" s="29" t="s">
        <v>82</v>
      </c>
      <c r="P210" s="29" t="s">
        <v>73</v>
      </c>
      <c r="Q210" s="29"/>
      <c r="S210" s="7" t="s">
        <v>316</v>
      </c>
      <c r="T210" s="7" t="s">
        <v>72</v>
      </c>
      <c r="U210" s="7" t="s">
        <v>72</v>
      </c>
      <c r="V210" s="7" t="s">
        <v>72</v>
      </c>
      <c r="AA210" t="str">
        <f>VLOOKUP(C210,[1]Sheet1!$C:$U,18,0)</f>
        <v/>
      </c>
    </row>
    <row r="211" spans="1:27" x14ac:dyDescent="0.3">
      <c r="A211" s="29" t="s">
        <v>307</v>
      </c>
      <c r="B211" s="29" t="s">
        <v>84</v>
      </c>
      <c r="C211" s="29" t="s">
        <v>317</v>
      </c>
      <c r="D211" s="29" t="s">
        <v>67</v>
      </c>
      <c r="E211" s="29"/>
      <c r="F211" s="48">
        <v>45337</v>
      </c>
      <c r="G211" s="48">
        <v>45443</v>
      </c>
      <c r="H211" s="29">
        <v>2024</v>
      </c>
      <c r="I211" s="30">
        <v>5000000</v>
      </c>
      <c r="J211" s="26">
        <v>5000000</v>
      </c>
      <c r="K211" s="26">
        <v>0</v>
      </c>
      <c r="L211" s="28">
        <v>0</v>
      </c>
      <c r="M211" s="28">
        <f t="shared" si="56"/>
        <v>0</v>
      </c>
      <c r="N211" s="36" t="s">
        <v>86</v>
      </c>
      <c r="O211" s="29" t="s">
        <v>87</v>
      </c>
      <c r="P211" s="29" t="s">
        <v>73</v>
      </c>
      <c r="Q211" s="29"/>
      <c r="S211" s="7" t="s">
        <v>316</v>
      </c>
      <c r="T211" s="7" t="s">
        <v>72</v>
      </c>
      <c r="U211" s="7" t="s">
        <v>72</v>
      </c>
      <c r="V211" s="7" t="s">
        <v>72</v>
      </c>
      <c r="AA211" t="str">
        <f>VLOOKUP(C211,[1]Sheet1!$C:$U,18,0)</f>
        <v/>
      </c>
    </row>
    <row r="212" spans="1:27" x14ac:dyDescent="0.3">
      <c r="A212" s="29" t="s">
        <v>307</v>
      </c>
      <c r="B212" s="29" t="s">
        <v>278</v>
      </c>
      <c r="C212" s="29" t="s">
        <v>318</v>
      </c>
      <c r="D212" s="29" t="s">
        <v>67</v>
      </c>
      <c r="E212" s="29"/>
      <c r="F212" s="48">
        <v>45338</v>
      </c>
      <c r="G212" s="48">
        <v>45443</v>
      </c>
      <c r="H212" s="29">
        <v>2024</v>
      </c>
      <c r="I212" s="30">
        <v>7608000</v>
      </c>
      <c r="J212" s="26">
        <v>7608000</v>
      </c>
      <c r="K212" s="26">
        <f t="shared" si="53"/>
        <v>0</v>
      </c>
      <c r="L212" s="28">
        <v>0</v>
      </c>
      <c r="M212" s="28">
        <f t="shared" si="56"/>
        <v>0</v>
      </c>
      <c r="N212" s="36" t="s">
        <v>68</v>
      </c>
      <c r="O212" s="29" t="s">
        <v>69</v>
      </c>
      <c r="P212" s="29" t="s">
        <v>70</v>
      </c>
      <c r="Q212" s="29"/>
      <c r="S212" s="7" t="s">
        <v>272</v>
      </c>
      <c r="T212" s="7" t="s">
        <v>72</v>
      </c>
      <c r="U212" s="7" t="s">
        <v>72</v>
      </c>
      <c r="V212" s="7" t="s">
        <v>72</v>
      </c>
      <c r="AA212" t="str">
        <f>VLOOKUP(C212,[1]Sheet1!$C:$U,18,0)</f>
        <v/>
      </c>
    </row>
    <row r="213" spans="1:27" x14ac:dyDescent="0.3">
      <c r="A213" s="29" t="s">
        <v>307</v>
      </c>
      <c r="B213" s="29" t="s">
        <v>278</v>
      </c>
      <c r="C213" s="29" t="s">
        <v>318</v>
      </c>
      <c r="D213" s="29" t="s">
        <v>67</v>
      </c>
      <c r="E213" s="29"/>
      <c r="F213" s="48">
        <v>45338</v>
      </c>
      <c r="G213" s="48">
        <v>45443</v>
      </c>
      <c r="H213" s="29">
        <v>2024</v>
      </c>
      <c r="I213" s="30">
        <v>23000000</v>
      </c>
      <c r="J213" s="26">
        <v>4000000</v>
      </c>
      <c r="K213" s="26">
        <v>0</v>
      </c>
      <c r="L213" s="28">
        <v>0</v>
      </c>
      <c r="M213" s="28">
        <f t="shared" si="56"/>
        <v>0</v>
      </c>
      <c r="N213" s="36" t="s">
        <v>68</v>
      </c>
      <c r="O213" s="29" t="s">
        <v>69</v>
      </c>
      <c r="P213" s="29" t="s">
        <v>77</v>
      </c>
      <c r="Q213" s="29"/>
      <c r="S213" s="7" t="s">
        <v>272</v>
      </c>
      <c r="T213" s="7" t="s">
        <v>72</v>
      </c>
      <c r="U213" s="7" t="s">
        <v>72</v>
      </c>
      <c r="V213" s="7" t="s">
        <v>72</v>
      </c>
      <c r="AA213" t="str">
        <f>VLOOKUP(C213,[1]Sheet1!$C:$U,18,0)</f>
        <v/>
      </c>
    </row>
    <row r="214" spans="1:27" x14ac:dyDescent="0.3">
      <c r="A214" s="29" t="s">
        <v>307</v>
      </c>
      <c r="B214" s="29" t="s">
        <v>278</v>
      </c>
      <c r="C214" s="29" t="s">
        <v>318</v>
      </c>
      <c r="D214" s="29" t="s">
        <v>67</v>
      </c>
      <c r="E214" s="29"/>
      <c r="F214" s="48">
        <v>45338</v>
      </c>
      <c r="G214" s="48">
        <v>45443</v>
      </c>
      <c r="H214" s="29">
        <v>2024</v>
      </c>
      <c r="I214" s="30">
        <v>28000000</v>
      </c>
      <c r="J214" s="26">
        <v>8820648</v>
      </c>
      <c r="K214" s="26">
        <v>0</v>
      </c>
      <c r="L214" s="28">
        <v>0</v>
      </c>
      <c r="M214" s="28">
        <f t="shared" si="56"/>
        <v>0</v>
      </c>
      <c r="N214" s="36" t="s">
        <v>68</v>
      </c>
      <c r="O214" s="29" t="s">
        <v>69</v>
      </c>
      <c r="P214" s="29" t="s">
        <v>73</v>
      </c>
      <c r="Q214" s="29"/>
      <c r="S214" s="7" t="s">
        <v>272</v>
      </c>
      <c r="T214" s="7" t="s">
        <v>72</v>
      </c>
      <c r="U214" s="7" t="s">
        <v>72</v>
      </c>
      <c r="V214" s="7" t="s">
        <v>72</v>
      </c>
      <c r="AA214" t="str">
        <f>VLOOKUP(C214,[1]Sheet1!$C:$U,18,0)</f>
        <v/>
      </c>
    </row>
    <row r="215" spans="1:27" x14ac:dyDescent="0.3">
      <c r="A215" s="29" t="s">
        <v>307</v>
      </c>
      <c r="B215" s="29" t="s">
        <v>278</v>
      </c>
      <c r="C215" s="29" t="s">
        <v>318</v>
      </c>
      <c r="D215" s="29" t="s">
        <v>67</v>
      </c>
      <c r="E215" s="29"/>
      <c r="F215" s="48">
        <v>45338</v>
      </c>
      <c r="G215" s="48">
        <v>45443</v>
      </c>
      <c r="H215" s="29">
        <v>2024</v>
      </c>
      <c r="I215" s="30">
        <v>2000000</v>
      </c>
      <c r="J215" s="26">
        <v>0</v>
      </c>
      <c r="K215" s="26">
        <v>0</v>
      </c>
      <c r="L215" s="28">
        <v>0</v>
      </c>
      <c r="M215" s="28">
        <f t="shared" si="56"/>
        <v>0</v>
      </c>
      <c r="N215" s="36" t="s">
        <v>68</v>
      </c>
      <c r="O215" s="29" t="s">
        <v>69</v>
      </c>
      <c r="P215" s="29" t="s">
        <v>311</v>
      </c>
      <c r="Q215" s="29"/>
      <c r="S215" s="7" t="s">
        <v>272</v>
      </c>
      <c r="T215" s="7" t="s">
        <v>72</v>
      </c>
      <c r="U215" s="7" t="s">
        <v>72</v>
      </c>
      <c r="V215" s="7" t="s">
        <v>72</v>
      </c>
      <c r="AA215" t="str">
        <f>VLOOKUP(C215,[1]Sheet1!$C:$U,18,0)</f>
        <v/>
      </c>
    </row>
    <row r="216" spans="1:27" x14ac:dyDescent="0.3">
      <c r="A216" s="29" t="s">
        <v>307</v>
      </c>
      <c r="B216" s="29" t="s">
        <v>278</v>
      </c>
      <c r="C216" s="29" t="s">
        <v>318</v>
      </c>
      <c r="D216" s="29" t="s">
        <v>67</v>
      </c>
      <c r="E216" s="29"/>
      <c r="F216" s="48">
        <v>45338</v>
      </c>
      <c r="G216" s="48">
        <v>45443</v>
      </c>
      <c r="H216" s="29">
        <v>2024</v>
      </c>
      <c r="I216" s="30">
        <v>8000000</v>
      </c>
      <c r="J216" s="26">
        <v>0</v>
      </c>
      <c r="K216" s="26">
        <v>0</v>
      </c>
      <c r="L216" s="28">
        <v>0</v>
      </c>
      <c r="M216" s="28">
        <f t="shared" si="56"/>
        <v>0</v>
      </c>
      <c r="N216" s="36" t="s">
        <v>68</v>
      </c>
      <c r="O216" s="29" t="s">
        <v>69</v>
      </c>
      <c r="P216" s="29" t="s">
        <v>78</v>
      </c>
      <c r="Q216" s="29"/>
      <c r="S216" s="7" t="s">
        <v>272</v>
      </c>
      <c r="T216" s="7" t="s">
        <v>72</v>
      </c>
      <c r="U216" s="7" t="s">
        <v>72</v>
      </c>
      <c r="V216" s="7" t="s">
        <v>72</v>
      </c>
      <c r="AA216" t="str">
        <f>VLOOKUP(C216,[1]Sheet1!$C:$U,18,0)</f>
        <v/>
      </c>
    </row>
    <row r="217" spans="1:27" x14ac:dyDescent="0.3">
      <c r="A217" s="29" t="s">
        <v>307</v>
      </c>
      <c r="B217" s="29" t="s">
        <v>319</v>
      </c>
      <c r="C217" s="29" t="s">
        <v>320</v>
      </c>
      <c r="D217" s="29" t="s">
        <v>67</v>
      </c>
      <c r="E217" s="29"/>
      <c r="F217" s="48">
        <v>45363</v>
      </c>
      <c r="G217" s="48">
        <v>45443</v>
      </c>
      <c r="H217" s="29">
        <v>2024</v>
      </c>
      <c r="I217" s="30">
        <v>2423286</v>
      </c>
      <c r="J217" s="26">
        <v>2423286</v>
      </c>
      <c r="K217" s="26">
        <f t="shared" si="53"/>
        <v>0</v>
      </c>
      <c r="L217" s="28">
        <v>0</v>
      </c>
      <c r="M217" s="28">
        <f t="shared" si="56"/>
        <v>0</v>
      </c>
      <c r="N217" s="36" t="s">
        <v>68</v>
      </c>
      <c r="O217" s="29" t="s">
        <v>69</v>
      </c>
      <c r="P217" s="29" t="s">
        <v>70</v>
      </c>
      <c r="Q217" s="29"/>
      <c r="S217" s="7" t="s">
        <v>91</v>
      </c>
      <c r="T217" s="7" t="s">
        <v>72</v>
      </c>
      <c r="U217" s="7" t="s">
        <v>72</v>
      </c>
      <c r="V217" s="7" t="s">
        <v>72</v>
      </c>
      <c r="AA217" t="str">
        <f>VLOOKUP(C217,[1]Sheet1!$C:$U,18,0)</f>
        <v/>
      </c>
    </row>
    <row r="218" spans="1:27" x14ac:dyDescent="0.3">
      <c r="A218" s="29" t="s">
        <v>307</v>
      </c>
      <c r="B218" s="29" t="s">
        <v>319</v>
      </c>
      <c r="C218" s="29" t="s">
        <v>320</v>
      </c>
      <c r="D218" s="29" t="s">
        <v>67</v>
      </c>
      <c r="E218" s="29"/>
      <c r="F218" s="48">
        <v>45363</v>
      </c>
      <c r="G218" s="48">
        <v>45443</v>
      </c>
      <c r="H218" s="29">
        <v>2024</v>
      </c>
      <c r="I218" s="30">
        <v>2090489</v>
      </c>
      <c r="J218" s="26">
        <v>0</v>
      </c>
      <c r="K218" s="26">
        <f t="shared" si="53"/>
        <v>2090489</v>
      </c>
      <c r="L218" s="28">
        <v>2090489</v>
      </c>
      <c r="M218" s="28">
        <f t="shared" si="56"/>
        <v>0</v>
      </c>
      <c r="N218" s="36" t="s">
        <v>68</v>
      </c>
      <c r="O218" s="29" t="s">
        <v>69</v>
      </c>
      <c r="P218" s="29" t="s">
        <v>70</v>
      </c>
      <c r="Q218" s="29"/>
      <c r="S218" s="7" t="s">
        <v>309</v>
      </c>
      <c r="T218" s="7" t="s">
        <v>72</v>
      </c>
      <c r="U218" s="7" t="s">
        <v>72</v>
      </c>
      <c r="V218" s="7" t="s">
        <v>72</v>
      </c>
    </row>
    <row r="219" spans="1:27" x14ac:dyDescent="0.3">
      <c r="A219" s="29" t="s">
        <v>307</v>
      </c>
      <c r="B219" s="29" t="s">
        <v>319</v>
      </c>
      <c r="C219" s="29" t="s">
        <v>320</v>
      </c>
      <c r="D219" s="29" t="s">
        <v>67</v>
      </c>
      <c r="E219" s="29"/>
      <c r="F219" s="48">
        <v>45363</v>
      </c>
      <c r="G219" s="48">
        <v>45443</v>
      </c>
      <c r="H219" s="29">
        <v>2024</v>
      </c>
      <c r="I219" s="30">
        <v>10000000</v>
      </c>
      <c r="J219" s="26">
        <v>10000000</v>
      </c>
      <c r="K219" s="26">
        <f t="shared" si="53"/>
        <v>0</v>
      </c>
      <c r="L219" s="28">
        <v>0</v>
      </c>
      <c r="M219" s="28">
        <f t="shared" si="56"/>
        <v>0</v>
      </c>
      <c r="N219" s="36" t="s">
        <v>68</v>
      </c>
      <c r="O219" s="29" t="s">
        <v>69</v>
      </c>
      <c r="P219" s="29" t="s">
        <v>73</v>
      </c>
      <c r="Q219" s="29"/>
      <c r="S219" s="7" t="s">
        <v>91</v>
      </c>
      <c r="T219" s="7" t="s">
        <v>72</v>
      </c>
      <c r="U219" s="7" t="s">
        <v>72</v>
      </c>
      <c r="V219" s="7" t="s">
        <v>72</v>
      </c>
      <c r="AA219" t="str">
        <f>VLOOKUP(C219,[1]Sheet1!$C:$U,18,0)</f>
        <v/>
      </c>
    </row>
    <row r="220" spans="1:27" x14ac:dyDescent="0.3">
      <c r="A220" s="29" t="s">
        <v>307</v>
      </c>
      <c r="B220" s="29" t="s">
        <v>321</v>
      </c>
      <c r="C220" s="29" t="s">
        <v>322</v>
      </c>
      <c r="D220" s="29" t="s">
        <v>67</v>
      </c>
      <c r="E220" s="29"/>
      <c r="F220" s="48">
        <v>45371</v>
      </c>
      <c r="G220" s="48">
        <v>45443</v>
      </c>
      <c r="H220" s="29">
        <v>2024</v>
      </c>
      <c r="I220" s="30">
        <v>3000000</v>
      </c>
      <c r="J220" s="26">
        <v>3000000</v>
      </c>
      <c r="K220" s="26">
        <v>0</v>
      </c>
      <c r="L220" s="28">
        <v>0</v>
      </c>
      <c r="M220" s="28">
        <f t="shared" si="56"/>
        <v>0</v>
      </c>
      <c r="N220" s="36" t="s">
        <v>68</v>
      </c>
      <c r="O220" s="29" t="s">
        <v>69</v>
      </c>
      <c r="P220" s="29" t="s">
        <v>70</v>
      </c>
      <c r="Q220" s="29"/>
      <c r="S220" s="7" t="s">
        <v>91</v>
      </c>
      <c r="T220" s="7" t="s">
        <v>72</v>
      </c>
      <c r="U220" s="7" t="s">
        <v>72</v>
      </c>
      <c r="V220" s="7" t="s">
        <v>72</v>
      </c>
      <c r="AA220" t="str">
        <f>VLOOKUP(C220,[1]Sheet1!$C:$U,18,0)</f>
        <v/>
      </c>
    </row>
    <row r="221" spans="1:27" x14ac:dyDescent="0.3">
      <c r="A221" s="29" t="s">
        <v>307</v>
      </c>
      <c r="B221" s="29" t="s">
        <v>321</v>
      </c>
      <c r="C221" s="29" t="s">
        <v>322</v>
      </c>
      <c r="D221" s="29" t="s">
        <v>67</v>
      </c>
      <c r="E221" s="29"/>
      <c r="F221" s="48">
        <v>45371</v>
      </c>
      <c r="G221" s="48">
        <v>45443</v>
      </c>
      <c r="H221" s="29">
        <v>2024</v>
      </c>
      <c r="I221" s="30">
        <v>6000000</v>
      </c>
      <c r="J221" s="26">
        <v>6000000</v>
      </c>
      <c r="K221" s="26">
        <v>0</v>
      </c>
      <c r="L221" s="28">
        <v>0</v>
      </c>
      <c r="M221" s="28">
        <f t="shared" si="56"/>
        <v>0</v>
      </c>
      <c r="N221" s="36" t="s">
        <v>68</v>
      </c>
      <c r="O221" s="29" t="s">
        <v>69</v>
      </c>
      <c r="P221" s="29" t="s">
        <v>73</v>
      </c>
      <c r="Q221" s="29"/>
      <c r="S221" s="7" t="s">
        <v>91</v>
      </c>
      <c r="T221" s="7" t="s">
        <v>72</v>
      </c>
      <c r="U221" s="7" t="s">
        <v>72</v>
      </c>
      <c r="V221" s="7" t="s">
        <v>72</v>
      </c>
      <c r="AA221" t="str">
        <f>VLOOKUP(C221,[1]Sheet1!$C:$U,18,0)</f>
        <v/>
      </c>
    </row>
    <row r="222" spans="1:27" x14ac:dyDescent="0.3">
      <c r="A222" s="29" t="s">
        <v>307</v>
      </c>
      <c r="B222" s="29" t="s">
        <v>323</v>
      </c>
      <c r="C222" s="29" t="s">
        <v>324</v>
      </c>
      <c r="D222" s="29" t="s">
        <v>67</v>
      </c>
      <c r="E222" s="29"/>
      <c r="F222" s="48">
        <v>45378</v>
      </c>
      <c r="G222" s="48">
        <v>45443</v>
      </c>
      <c r="H222" s="29">
        <v>2024</v>
      </c>
      <c r="I222" s="30">
        <v>7000000</v>
      </c>
      <c r="J222" s="26">
        <v>6634403</v>
      </c>
      <c r="K222" s="26">
        <v>0</v>
      </c>
      <c r="L222" s="28">
        <v>0</v>
      </c>
      <c r="M222" s="28">
        <f t="shared" si="56"/>
        <v>0</v>
      </c>
      <c r="N222" s="36" t="s">
        <v>95</v>
      </c>
      <c r="O222" s="29" t="s">
        <v>96</v>
      </c>
      <c r="P222" s="29" t="s">
        <v>73</v>
      </c>
      <c r="Q222" s="29"/>
      <c r="S222" s="7" t="s">
        <v>325</v>
      </c>
      <c r="T222" s="7" t="s">
        <v>72</v>
      </c>
      <c r="U222" s="7" t="s">
        <v>72</v>
      </c>
      <c r="V222" s="7" t="s">
        <v>72</v>
      </c>
      <c r="AA222" t="str">
        <f>VLOOKUP(C222,[1]Sheet1!$C:$U,18,0)</f>
        <v/>
      </c>
    </row>
    <row r="223" spans="1:27" x14ac:dyDescent="0.3">
      <c r="A223" s="29" t="s">
        <v>307</v>
      </c>
      <c r="B223" s="29" t="s">
        <v>323</v>
      </c>
      <c r="C223" s="29" t="s">
        <v>324</v>
      </c>
      <c r="D223" s="29" t="s">
        <v>67</v>
      </c>
      <c r="E223" s="29"/>
      <c r="F223" s="48">
        <v>45378</v>
      </c>
      <c r="G223" s="48">
        <v>45443</v>
      </c>
      <c r="H223" s="29">
        <v>2024</v>
      </c>
      <c r="I223" s="30">
        <v>3000000</v>
      </c>
      <c r="J223" s="26">
        <v>3000000</v>
      </c>
      <c r="K223" s="26">
        <f t="shared" si="53"/>
        <v>0</v>
      </c>
      <c r="L223" s="28">
        <v>0</v>
      </c>
      <c r="M223" s="28">
        <f t="shared" si="56"/>
        <v>0</v>
      </c>
      <c r="N223" s="36" t="s">
        <v>95</v>
      </c>
      <c r="O223" s="29" t="s">
        <v>96</v>
      </c>
      <c r="P223" s="29" t="s">
        <v>70</v>
      </c>
      <c r="Q223" s="29"/>
      <c r="S223" s="7" t="s">
        <v>325</v>
      </c>
      <c r="T223" s="7" t="s">
        <v>72</v>
      </c>
      <c r="U223" s="7" t="s">
        <v>72</v>
      </c>
      <c r="V223" s="7" t="s">
        <v>72</v>
      </c>
      <c r="AA223" t="str">
        <f>VLOOKUP(C223,[1]Sheet1!$C:$U,18,0)</f>
        <v/>
      </c>
    </row>
    <row r="224" spans="1:27" x14ac:dyDescent="0.3">
      <c r="A224" s="29" t="s">
        <v>307</v>
      </c>
      <c r="B224" s="29" t="s">
        <v>326</v>
      </c>
      <c r="C224" s="29" t="s">
        <v>327</v>
      </c>
      <c r="D224" s="29" t="s">
        <v>94</v>
      </c>
      <c r="E224" s="29"/>
      <c r="F224" s="48">
        <v>45382</v>
      </c>
      <c r="G224" s="48">
        <v>45473</v>
      </c>
      <c r="H224" s="29">
        <v>2024</v>
      </c>
      <c r="I224" s="30">
        <v>5990725</v>
      </c>
      <c r="J224" s="26">
        <v>0</v>
      </c>
      <c r="K224" s="26">
        <f t="shared" si="53"/>
        <v>5990725</v>
      </c>
      <c r="L224" s="28">
        <v>5990725</v>
      </c>
      <c r="M224" s="28">
        <f t="shared" si="56"/>
        <v>0</v>
      </c>
      <c r="N224" s="36" t="s">
        <v>81</v>
      </c>
      <c r="O224" s="29" t="s">
        <v>82</v>
      </c>
      <c r="P224" s="29" t="s">
        <v>70</v>
      </c>
      <c r="Q224" s="29"/>
      <c r="S224" s="7" t="s">
        <v>328</v>
      </c>
      <c r="T224" s="7" t="s">
        <v>72</v>
      </c>
      <c r="U224" s="7" t="s">
        <v>72</v>
      </c>
      <c r="V224" s="7"/>
      <c r="AA224" t="str">
        <f>VLOOKUP(C224,[1]Sheet1!$C:$U,18,0)</f>
        <v/>
      </c>
    </row>
    <row r="225" spans="1:27" x14ac:dyDescent="0.3">
      <c r="A225" s="29" t="s">
        <v>307</v>
      </c>
      <c r="B225" s="29" t="s">
        <v>326</v>
      </c>
      <c r="C225" s="29" t="s">
        <v>329</v>
      </c>
      <c r="D225" s="29" t="s">
        <v>94</v>
      </c>
      <c r="E225" s="29" t="s">
        <v>7</v>
      </c>
      <c r="F225" s="48">
        <v>45382</v>
      </c>
      <c r="G225" s="48">
        <v>45473</v>
      </c>
      <c r="H225" s="29">
        <v>2024</v>
      </c>
      <c r="I225" s="30">
        <v>1009275</v>
      </c>
      <c r="J225" s="26">
        <v>0</v>
      </c>
      <c r="K225" s="26">
        <f>I225-J225</f>
        <v>1009275</v>
      </c>
      <c r="L225" s="28">
        <v>1009275</v>
      </c>
      <c r="M225" s="28">
        <f t="shared" ref="M225:M256" si="57">K225-L225</f>
        <v>0</v>
      </c>
      <c r="N225" s="36" t="s">
        <v>81</v>
      </c>
      <c r="O225" s="29" t="s">
        <v>82</v>
      </c>
      <c r="P225" s="29" t="s">
        <v>70</v>
      </c>
      <c r="Q225" s="29"/>
      <c r="R225" t="s">
        <v>330</v>
      </c>
      <c r="S225" s="7" t="s">
        <v>331</v>
      </c>
      <c r="T225" s="7" t="s">
        <v>72</v>
      </c>
      <c r="U225" s="7"/>
      <c r="V225" s="7"/>
      <c r="W225" s="51">
        <f>X225/Z225</f>
        <v>1062394.7368421054</v>
      </c>
      <c r="X225">
        <f>L225/Y225</f>
        <v>10623.947368421053</v>
      </c>
      <c r="Y225" s="50">
        <v>95</v>
      </c>
      <c r="Z225" s="49">
        <v>0.01</v>
      </c>
    </row>
    <row r="226" spans="1:27" x14ac:dyDescent="0.3">
      <c r="A226" s="29" t="s">
        <v>307</v>
      </c>
      <c r="B226" s="29" t="s">
        <v>326</v>
      </c>
      <c r="C226" s="29" t="s">
        <v>327</v>
      </c>
      <c r="D226" s="29" t="s">
        <v>94</v>
      </c>
      <c r="E226" s="29"/>
      <c r="F226" s="48">
        <v>45382</v>
      </c>
      <c r="G226" s="48">
        <v>45473</v>
      </c>
      <c r="H226" s="29">
        <v>2024</v>
      </c>
      <c r="I226" s="30">
        <v>13000000</v>
      </c>
      <c r="J226" s="26">
        <v>0</v>
      </c>
      <c r="K226" s="26">
        <f>I226-J226</f>
        <v>13000000</v>
      </c>
      <c r="L226" s="28">
        <v>13000000</v>
      </c>
      <c r="M226" s="28">
        <f t="shared" si="57"/>
        <v>0</v>
      </c>
      <c r="N226" s="36" t="s">
        <v>81</v>
      </c>
      <c r="O226" s="29" t="s">
        <v>82</v>
      </c>
      <c r="P226" s="29" t="s">
        <v>73</v>
      </c>
      <c r="Q226" s="29"/>
      <c r="S226" s="7" t="s">
        <v>328</v>
      </c>
      <c r="T226" s="7" t="s">
        <v>72</v>
      </c>
      <c r="U226" s="7" t="s">
        <v>72</v>
      </c>
      <c r="V226" s="7"/>
      <c r="AA226" t="str">
        <f>VLOOKUP(C226,[1]Sheet1!$C:$U,18,0)</f>
        <v/>
      </c>
    </row>
    <row r="227" spans="1:27" x14ac:dyDescent="0.3">
      <c r="A227" s="29" t="s">
        <v>307</v>
      </c>
      <c r="B227" s="29" t="s">
        <v>332</v>
      </c>
      <c r="C227" s="29" t="s">
        <v>333</v>
      </c>
      <c r="D227" s="29" t="s">
        <v>67</v>
      </c>
      <c r="E227" s="29"/>
      <c r="F227" s="48">
        <v>45383</v>
      </c>
      <c r="G227" s="48">
        <v>45473</v>
      </c>
      <c r="H227" s="29">
        <v>2024</v>
      </c>
      <c r="I227" s="30">
        <v>4513775</v>
      </c>
      <c r="J227" s="26">
        <v>4513775</v>
      </c>
      <c r="K227" s="26">
        <v>0</v>
      </c>
      <c r="L227" s="28">
        <v>0</v>
      </c>
      <c r="M227" s="28">
        <f t="shared" si="57"/>
        <v>0</v>
      </c>
      <c r="N227" s="36" t="s">
        <v>68</v>
      </c>
      <c r="O227" s="29" t="s">
        <v>69</v>
      </c>
      <c r="P227" s="29" t="s">
        <v>70</v>
      </c>
      <c r="Q227" s="29"/>
      <c r="S227" s="7"/>
      <c r="T227" s="7" t="s">
        <v>72</v>
      </c>
      <c r="U227" s="7" t="s">
        <v>72</v>
      </c>
      <c r="V227" s="7" t="s">
        <v>72</v>
      </c>
      <c r="AA227" t="str">
        <f>VLOOKUP(C227,[1]Sheet1!$C:$U,18,0)</f>
        <v/>
      </c>
    </row>
    <row r="228" spans="1:27" x14ac:dyDescent="0.3">
      <c r="A228" s="29" t="s">
        <v>307</v>
      </c>
      <c r="B228" s="29" t="s">
        <v>332</v>
      </c>
      <c r="C228" s="29" t="s">
        <v>333</v>
      </c>
      <c r="D228" s="29" t="s">
        <v>67</v>
      </c>
      <c r="E228" s="29"/>
      <c r="F228" s="48">
        <v>45383</v>
      </c>
      <c r="G228" s="48">
        <v>45473</v>
      </c>
      <c r="H228" s="29">
        <v>2024</v>
      </c>
      <c r="I228" s="30">
        <v>10000000</v>
      </c>
      <c r="J228" s="26">
        <v>10000000</v>
      </c>
      <c r="K228" s="26">
        <v>0</v>
      </c>
      <c r="L228" s="28">
        <v>0</v>
      </c>
      <c r="M228" s="28">
        <f t="shared" si="57"/>
        <v>0</v>
      </c>
      <c r="N228" s="36" t="s">
        <v>68</v>
      </c>
      <c r="O228" s="29" t="s">
        <v>69</v>
      </c>
      <c r="P228" s="29" t="s">
        <v>73</v>
      </c>
      <c r="Q228" s="29"/>
      <c r="S228" s="7"/>
      <c r="T228" s="7" t="s">
        <v>72</v>
      </c>
      <c r="U228" s="7" t="s">
        <v>72</v>
      </c>
      <c r="V228" s="7" t="s">
        <v>72</v>
      </c>
      <c r="AA228" t="str">
        <f>VLOOKUP(C228,[1]Sheet1!$C:$U,18,0)</f>
        <v/>
      </c>
    </row>
    <row r="229" spans="1:27" x14ac:dyDescent="0.3">
      <c r="A229" s="29" t="s">
        <v>307</v>
      </c>
      <c r="B229" s="29" t="s">
        <v>102</v>
      </c>
      <c r="C229" s="29" t="s">
        <v>334</v>
      </c>
      <c r="D229" s="29" t="s">
        <v>67</v>
      </c>
      <c r="E229" s="29"/>
      <c r="F229" s="48">
        <v>45385</v>
      </c>
      <c r="G229" s="48">
        <v>45504</v>
      </c>
      <c r="H229" s="29">
        <v>2024</v>
      </c>
      <c r="I229" s="30">
        <v>5000000</v>
      </c>
      <c r="J229" s="26">
        <v>4844344</v>
      </c>
      <c r="K229" s="26">
        <v>0</v>
      </c>
      <c r="L229" s="28">
        <v>0</v>
      </c>
      <c r="M229" s="28">
        <f t="shared" si="57"/>
        <v>0</v>
      </c>
      <c r="N229" s="36" t="s">
        <v>68</v>
      </c>
      <c r="O229" s="29" t="s">
        <v>69</v>
      </c>
      <c r="P229" s="29" t="s">
        <v>70</v>
      </c>
      <c r="Q229" s="29"/>
      <c r="S229" s="7" t="s">
        <v>335</v>
      </c>
      <c r="T229" s="7" t="s">
        <v>72</v>
      </c>
      <c r="U229" s="7" t="s">
        <v>72</v>
      </c>
      <c r="V229" s="7" t="s">
        <v>72</v>
      </c>
      <c r="AA229" t="str">
        <f>VLOOKUP(C229,[1]Sheet1!$C:$U,18,0)</f>
        <v/>
      </c>
    </row>
    <row r="230" spans="1:27" x14ac:dyDescent="0.3">
      <c r="A230" s="29" t="s">
        <v>307</v>
      </c>
      <c r="B230" s="29" t="s">
        <v>102</v>
      </c>
      <c r="C230" s="29" t="s">
        <v>334</v>
      </c>
      <c r="D230" s="29" t="s">
        <v>67</v>
      </c>
      <c r="E230" s="29"/>
      <c r="F230" s="48">
        <v>45385</v>
      </c>
      <c r="G230" s="48">
        <v>45504</v>
      </c>
      <c r="H230" s="29">
        <v>2024</v>
      </c>
      <c r="I230" s="30">
        <v>3000000</v>
      </c>
      <c r="J230" s="26">
        <v>3000000</v>
      </c>
      <c r="K230" s="26">
        <f>I230-J230</f>
        <v>0</v>
      </c>
      <c r="L230" s="28">
        <v>0</v>
      </c>
      <c r="M230" s="28">
        <f t="shared" si="57"/>
        <v>0</v>
      </c>
      <c r="N230" s="36" t="s">
        <v>68</v>
      </c>
      <c r="O230" s="29" t="s">
        <v>69</v>
      </c>
      <c r="P230" s="29" t="s">
        <v>77</v>
      </c>
      <c r="Q230" s="29"/>
      <c r="S230" s="7" t="s">
        <v>335</v>
      </c>
      <c r="T230" s="7" t="s">
        <v>72</v>
      </c>
      <c r="U230" s="7" t="s">
        <v>72</v>
      </c>
      <c r="V230" s="7" t="s">
        <v>72</v>
      </c>
      <c r="AA230" t="str">
        <f>VLOOKUP(C230,[1]Sheet1!$C:$U,18,0)</f>
        <v/>
      </c>
    </row>
    <row r="231" spans="1:27" x14ac:dyDescent="0.3">
      <c r="A231" s="29" t="s">
        <v>307</v>
      </c>
      <c r="B231" s="29" t="s">
        <v>102</v>
      </c>
      <c r="C231" s="29" t="s">
        <v>334</v>
      </c>
      <c r="D231" s="29" t="s">
        <v>67</v>
      </c>
      <c r="E231" s="29"/>
      <c r="F231" s="48">
        <v>45385</v>
      </c>
      <c r="G231" s="48">
        <v>45504</v>
      </c>
      <c r="H231" s="29">
        <v>2024</v>
      </c>
      <c r="I231" s="30">
        <v>12000000</v>
      </c>
      <c r="J231" s="26">
        <v>12000000</v>
      </c>
      <c r="K231" s="26">
        <f>I231-J231</f>
        <v>0</v>
      </c>
      <c r="L231" s="28">
        <v>0</v>
      </c>
      <c r="M231" s="28">
        <f t="shared" si="57"/>
        <v>0</v>
      </c>
      <c r="N231" s="36" t="s">
        <v>68</v>
      </c>
      <c r="O231" s="29" t="s">
        <v>69</v>
      </c>
      <c r="P231" s="29" t="s">
        <v>73</v>
      </c>
      <c r="Q231" s="29"/>
      <c r="S231" s="7" t="s">
        <v>335</v>
      </c>
      <c r="T231" s="7" t="s">
        <v>72</v>
      </c>
      <c r="U231" s="7" t="s">
        <v>72</v>
      </c>
      <c r="V231" s="7" t="s">
        <v>72</v>
      </c>
      <c r="AA231" t="str">
        <f>VLOOKUP(C231,[1]Sheet1!$C:$U,18,0)</f>
        <v/>
      </c>
    </row>
    <row r="232" spans="1:27" x14ac:dyDescent="0.3">
      <c r="A232" s="29" t="s">
        <v>307</v>
      </c>
      <c r="B232" s="29" t="s">
        <v>336</v>
      </c>
      <c r="C232" s="29" t="s">
        <v>337</v>
      </c>
      <c r="D232" s="29" t="s">
        <v>67</v>
      </c>
      <c r="E232" s="29"/>
      <c r="F232" s="48">
        <v>45399</v>
      </c>
      <c r="G232" s="48">
        <v>45473</v>
      </c>
      <c r="H232" s="29">
        <v>2024</v>
      </c>
      <c r="I232" s="30">
        <v>1000000</v>
      </c>
      <c r="J232" s="26">
        <v>864412</v>
      </c>
      <c r="K232" s="26">
        <v>0</v>
      </c>
      <c r="L232" s="28">
        <v>0</v>
      </c>
      <c r="M232" s="28">
        <f t="shared" si="57"/>
        <v>0</v>
      </c>
      <c r="N232" s="36" t="s">
        <v>68</v>
      </c>
      <c r="O232" s="29" t="s">
        <v>69</v>
      </c>
      <c r="P232" s="29" t="s">
        <v>70</v>
      </c>
      <c r="Q232" s="29"/>
      <c r="S232" s="7" t="s">
        <v>200</v>
      </c>
      <c r="T232" s="7" t="s">
        <v>72</v>
      </c>
      <c r="U232" s="7" t="s">
        <v>72</v>
      </c>
      <c r="V232" s="7" t="s">
        <v>72</v>
      </c>
      <c r="AA232" t="str">
        <f>VLOOKUP(C232,[1]Sheet1!$C:$U,18,0)</f>
        <v/>
      </c>
    </row>
    <row r="233" spans="1:27" x14ac:dyDescent="0.3">
      <c r="A233" s="29" t="s">
        <v>307</v>
      </c>
      <c r="B233" s="29" t="s">
        <v>336</v>
      </c>
      <c r="C233" s="29" t="s">
        <v>337</v>
      </c>
      <c r="D233" s="29" t="s">
        <v>67</v>
      </c>
      <c r="E233" s="29"/>
      <c r="F233" s="48">
        <v>45399</v>
      </c>
      <c r="G233" s="48">
        <v>45473</v>
      </c>
      <c r="H233" s="29">
        <v>2024</v>
      </c>
      <c r="I233" s="30">
        <v>3000000</v>
      </c>
      <c r="J233" s="26">
        <v>3000000</v>
      </c>
      <c r="K233" s="26">
        <f>I233-J233</f>
        <v>0</v>
      </c>
      <c r="L233" s="28">
        <v>0</v>
      </c>
      <c r="M233" s="28">
        <f t="shared" si="57"/>
        <v>0</v>
      </c>
      <c r="N233" s="36" t="s">
        <v>68</v>
      </c>
      <c r="O233" s="29" t="s">
        <v>69</v>
      </c>
      <c r="P233" s="29" t="s">
        <v>73</v>
      </c>
      <c r="Q233" s="29"/>
      <c r="S233" s="7" t="s">
        <v>200</v>
      </c>
      <c r="T233" s="7" t="s">
        <v>72</v>
      </c>
      <c r="U233" s="7" t="s">
        <v>72</v>
      </c>
      <c r="V233" s="7" t="s">
        <v>72</v>
      </c>
      <c r="AA233" t="str">
        <f>VLOOKUP(C233,[1]Sheet1!$C:$U,18,0)</f>
        <v/>
      </c>
    </row>
    <row r="234" spans="1:27" x14ac:dyDescent="0.3">
      <c r="A234" s="29" t="s">
        <v>307</v>
      </c>
      <c r="B234" s="29" t="s">
        <v>110</v>
      </c>
      <c r="C234" s="29" t="s">
        <v>338</v>
      </c>
      <c r="D234" s="29" t="s">
        <v>94</v>
      </c>
      <c r="E234" s="29"/>
      <c r="F234" s="48">
        <v>45408</v>
      </c>
      <c r="G234" s="48">
        <v>45473</v>
      </c>
      <c r="H234" s="29">
        <v>2024</v>
      </c>
      <c r="I234" s="30">
        <v>5462517</v>
      </c>
      <c r="J234" s="26">
        <v>0</v>
      </c>
      <c r="K234" s="26">
        <f>I234-J234</f>
        <v>5462517</v>
      </c>
      <c r="L234" s="28">
        <v>5462517</v>
      </c>
      <c r="M234" s="28">
        <f t="shared" si="57"/>
        <v>0</v>
      </c>
      <c r="N234" s="36" t="s">
        <v>86</v>
      </c>
      <c r="O234" s="29" t="s">
        <v>87</v>
      </c>
      <c r="P234" s="29" t="s">
        <v>73</v>
      </c>
      <c r="Q234" s="29"/>
      <c r="S234" s="7" t="s">
        <v>339</v>
      </c>
      <c r="T234" s="7" t="s">
        <v>72</v>
      </c>
      <c r="U234" s="7" t="s">
        <v>72</v>
      </c>
      <c r="V234" s="7"/>
      <c r="AA234" t="str">
        <f>VLOOKUP(C234,[1]Sheet1!$C:$U,18,0)</f>
        <v/>
      </c>
    </row>
    <row r="235" spans="1:27" x14ac:dyDescent="0.3">
      <c r="A235" s="29" t="s">
        <v>307</v>
      </c>
      <c r="B235" s="29" t="s">
        <v>340</v>
      </c>
      <c r="C235" s="29" t="s">
        <v>341</v>
      </c>
      <c r="D235" s="29" t="s">
        <v>67</v>
      </c>
      <c r="E235" s="29"/>
      <c r="F235" s="48">
        <v>45408</v>
      </c>
      <c r="G235" s="48">
        <v>45473</v>
      </c>
      <c r="H235" s="29">
        <v>2024</v>
      </c>
      <c r="I235" s="30">
        <v>15000000</v>
      </c>
      <c r="J235" s="26">
        <v>15000000</v>
      </c>
      <c r="K235" s="26">
        <v>0</v>
      </c>
      <c r="L235" s="28">
        <v>0</v>
      </c>
      <c r="M235" s="28">
        <f t="shared" si="57"/>
        <v>0</v>
      </c>
      <c r="N235" s="36" t="s">
        <v>86</v>
      </c>
      <c r="O235" s="29" t="s">
        <v>87</v>
      </c>
      <c r="P235" s="29" t="s">
        <v>70</v>
      </c>
      <c r="Q235" s="29"/>
      <c r="S235" s="7"/>
      <c r="T235" s="7" t="s">
        <v>72</v>
      </c>
      <c r="U235" s="7" t="s">
        <v>72</v>
      </c>
      <c r="V235" s="7" t="s">
        <v>72</v>
      </c>
      <c r="AA235" t="str">
        <f>VLOOKUP(C235,[1]Sheet1!$C:$U,18,0)</f>
        <v/>
      </c>
    </row>
    <row r="236" spans="1:27" x14ac:dyDescent="0.3">
      <c r="A236" s="29" t="s">
        <v>307</v>
      </c>
      <c r="B236" s="29" t="s">
        <v>342</v>
      </c>
      <c r="C236" s="29" t="s">
        <v>343</v>
      </c>
      <c r="D236" s="29" t="s">
        <v>67</v>
      </c>
      <c r="E236" s="29"/>
      <c r="F236" s="48">
        <v>45413</v>
      </c>
      <c r="G236" s="48">
        <v>45504</v>
      </c>
      <c r="H236" s="29">
        <v>2024</v>
      </c>
      <c r="I236" s="30">
        <v>3510469</v>
      </c>
      <c r="J236" s="26">
        <v>0</v>
      </c>
      <c r="K236" s="26">
        <f t="shared" ref="K236:K282" si="58">I236-J236</f>
        <v>3510469</v>
      </c>
      <c r="L236" s="28">
        <v>3510469</v>
      </c>
      <c r="M236" s="28">
        <f t="shared" si="57"/>
        <v>0</v>
      </c>
      <c r="N236" s="36" t="s">
        <v>68</v>
      </c>
      <c r="O236" s="29" t="s">
        <v>69</v>
      </c>
      <c r="P236" s="29" t="s">
        <v>70</v>
      </c>
      <c r="Q236" s="29"/>
      <c r="S236" s="7" t="s">
        <v>207</v>
      </c>
      <c r="T236" s="7" t="s">
        <v>72</v>
      </c>
      <c r="U236" s="7" t="s">
        <v>72</v>
      </c>
      <c r="V236" s="7" t="s">
        <v>72</v>
      </c>
      <c r="AA236" t="str">
        <f>VLOOKUP(C236,[1]Sheet1!$C:$U,18,0)</f>
        <v/>
      </c>
    </row>
    <row r="237" spans="1:27" x14ac:dyDescent="0.3">
      <c r="A237" s="29" t="s">
        <v>307</v>
      </c>
      <c r="B237" s="29" t="s">
        <v>342</v>
      </c>
      <c r="C237" s="29" t="s">
        <v>344</v>
      </c>
      <c r="D237" s="29" t="s">
        <v>67</v>
      </c>
      <c r="E237" s="29"/>
      <c r="F237" s="48">
        <v>45413</v>
      </c>
      <c r="G237" s="48">
        <v>45504</v>
      </c>
      <c r="H237" s="29">
        <v>2024</v>
      </c>
      <c r="I237" s="30">
        <v>1003306</v>
      </c>
      <c r="J237" s="26">
        <v>0</v>
      </c>
      <c r="K237" s="26">
        <f t="shared" si="58"/>
        <v>1003306</v>
      </c>
      <c r="L237" s="28">
        <v>1003306</v>
      </c>
      <c r="M237" s="28">
        <f t="shared" si="57"/>
        <v>0</v>
      </c>
      <c r="N237" s="36" t="s">
        <v>68</v>
      </c>
      <c r="O237" s="29" t="s">
        <v>69</v>
      </c>
      <c r="P237" s="29" t="s">
        <v>70</v>
      </c>
      <c r="Q237" s="29"/>
      <c r="S237" s="7" t="s">
        <v>116</v>
      </c>
      <c r="T237" s="7" t="s">
        <v>72</v>
      </c>
      <c r="U237" s="7" t="s">
        <v>72</v>
      </c>
      <c r="V237" s="7" t="s">
        <v>72</v>
      </c>
    </row>
    <row r="238" spans="1:27" x14ac:dyDescent="0.3">
      <c r="A238" s="29" t="s">
        <v>307</v>
      </c>
      <c r="B238" s="29" t="s">
        <v>342</v>
      </c>
      <c r="C238" s="29" t="s">
        <v>343</v>
      </c>
      <c r="D238" s="29" t="s">
        <v>67</v>
      </c>
      <c r="E238" s="29"/>
      <c r="F238" s="48">
        <v>45413</v>
      </c>
      <c r="G238" s="48">
        <v>45504</v>
      </c>
      <c r="H238" s="29">
        <v>2024</v>
      </c>
      <c r="I238" s="30">
        <v>4000000</v>
      </c>
      <c r="J238" s="26">
        <v>0</v>
      </c>
      <c r="K238" s="26">
        <f t="shared" si="58"/>
        <v>4000000</v>
      </c>
      <c r="L238" s="28">
        <v>4000000</v>
      </c>
      <c r="M238" s="28">
        <f t="shared" si="57"/>
        <v>0</v>
      </c>
      <c r="N238" s="36" t="s">
        <v>68</v>
      </c>
      <c r="O238" s="29" t="s">
        <v>69</v>
      </c>
      <c r="P238" s="29" t="s">
        <v>73</v>
      </c>
      <c r="Q238" s="29"/>
      <c r="S238" s="7" t="s">
        <v>207</v>
      </c>
      <c r="T238" s="7" t="s">
        <v>72</v>
      </c>
      <c r="U238" s="7" t="s">
        <v>72</v>
      </c>
      <c r="V238" s="7" t="s">
        <v>72</v>
      </c>
      <c r="AA238" t="str">
        <f>VLOOKUP(C238,[1]Sheet1!$C:$U,18,0)</f>
        <v/>
      </c>
    </row>
    <row r="239" spans="1:27" x14ac:dyDescent="0.3">
      <c r="A239" s="29" t="s">
        <v>307</v>
      </c>
      <c r="B239" s="29" t="s">
        <v>342</v>
      </c>
      <c r="C239" s="29" t="s">
        <v>344</v>
      </c>
      <c r="D239" s="29" t="s">
        <v>67</v>
      </c>
      <c r="E239" s="29"/>
      <c r="F239" s="48">
        <v>45413</v>
      </c>
      <c r="G239" s="48">
        <v>45504</v>
      </c>
      <c r="H239" s="29">
        <v>2024</v>
      </c>
      <c r="I239" s="30">
        <v>6000000</v>
      </c>
      <c r="J239" s="26">
        <v>0</v>
      </c>
      <c r="K239" s="26">
        <f t="shared" si="58"/>
        <v>6000000</v>
      </c>
      <c r="L239" s="28">
        <v>6000000</v>
      </c>
      <c r="M239" s="28">
        <f t="shared" si="57"/>
        <v>0</v>
      </c>
      <c r="N239" s="36" t="s">
        <v>68</v>
      </c>
      <c r="O239" s="29" t="s">
        <v>69</v>
      </c>
      <c r="P239" s="29" t="s">
        <v>73</v>
      </c>
      <c r="Q239" s="29"/>
      <c r="S239" s="7" t="s">
        <v>116</v>
      </c>
      <c r="T239" s="7" t="s">
        <v>72</v>
      </c>
      <c r="U239" s="7" t="s">
        <v>72</v>
      </c>
      <c r="V239" s="7" t="s">
        <v>72</v>
      </c>
    </row>
    <row r="240" spans="1:27" x14ac:dyDescent="0.3">
      <c r="A240" s="29" t="s">
        <v>307</v>
      </c>
      <c r="B240" s="29" t="s">
        <v>345</v>
      </c>
      <c r="C240" s="29" t="s">
        <v>346</v>
      </c>
      <c r="D240" s="29" t="s">
        <v>67</v>
      </c>
      <c r="E240" s="29"/>
      <c r="F240" s="48">
        <v>45427</v>
      </c>
      <c r="G240" s="48">
        <v>45535</v>
      </c>
      <c r="H240" s="29">
        <v>2024</v>
      </c>
      <c r="I240" s="30">
        <v>3000000</v>
      </c>
      <c r="J240" s="26">
        <v>3000000</v>
      </c>
      <c r="K240" s="26">
        <f t="shared" si="58"/>
        <v>0</v>
      </c>
      <c r="L240" s="28">
        <v>0</v>
      </c>
      <c r="M240" s="28">
        <f t="shared" si="57"/>
        <v>0</v>
      </c>
      <c r="N240" s="36" t="s">
        <v>81</v>
      </c>
      <c r="O240" s="29" t="s">
        <v>82</v>
      </c>
      <c r="P240" s="29" t="s">
        <v>70</v>
      </c>
      <c r="Q240" s="29"/>
      <c r="S240" s="7" t="s">
        <v>290</v>
      </c>
      <c r="T240" s="7" t="s">
        <v>72</v>
      </c>
      <c r="U240" s="7" t="s">
        <v>72</v>
      </c>
      <c r="V240" s="7" t="s">
        <v>72</v>
      </c>
      <c r="AA240" t="str">
        <f>VLOOKUP(C240,[1]Sheet1!$C:$U,18,0)</f>
        <v/>
      </c>
    </row>
    <row r="241" spans="1:27" x14ac:dyDescent="0.3">
      <c r="A241" s="29" t="s">
        <v>307</v>
      </c>
      <c r="B241" s="29" t="s">
        <v>345</v>
      </c>
      <c r="C241" s="29" t="s">
        <v>346</v>
      </c>
      <c r="D241" s="29" t="s">
        <v>67</v>
      </c>
      <c r="E241" s="29"/>
      <c r="F241" s="48">
        <v>45427</v>
      </c>
      <c r="G241" s="48">
        <v>45535</v>
      </c>
      <c r="H241" s="29">
        <v>2024</v>
      </c>
      <c r="I241" s="30">
        <v>6000000</v>
      </c>
      <c r="J241" s="26">
        <v>6000000</v>
      </c>
      <c r="K241" s="26">
        <f t="shared" si="58"/>
        <v>0</v>
      </c>
      <c r="L241" s="28">
        <v>0</v>
      </c>
      <c r="M241" s="28">
        <f t="shared" si="57"/>
        <v>0</v>
      </c>
      <c r="N241" s="36" t="s">
        <v>81</v>
      </c>
      <c r="O241" s="29" t="s">
        <v>82</v>
      </c>
      <c r="P241" s="29" t="s">
        <v>73</v>
      </c>
      <c r="Q241" s="29"/>
      <c r="S241" s="7" t="s">
        <v>290</v>
      </c>
      <c r="T241" s="7" t="s">
        <v>72</v>
      </c>
      <c r="U241" s="7" t="s">
        <v>72</v>
      </c>
      <c r="V241" s="7" t="s">
        <v>72</v>
      </c>
      <c r="AA241" t="str">
        <f>VLOOKUP(C241,[1]Sheet1!$C:$U,18,0)</f>
        <v/>
      </c>
    </row>
    <row r="242" spans="1:27" x14ac:dyDescent="0.3">
      <c r="A242" s="29" t="s">
        <v>307</v>
      </c>
      <c r="B242" s="29" t="s">
        <v>120</v>
      </c>
      <c r="C242" s="29" t="s">
        <v>347</v>
      </c>
      <c r="D242" s="29" t="s">
        <v>94</v>
      </c>
      <c r="E242" s="29" t="s">
        <v>9</v>
      </c>
      <c r="F242" s="48">
        <v>45437</v>
      </c>
      <c r="G242" s="48">
        <v>45535</v>
      </c>
      <c r="H242" s="29">
        <v>2024</v>
      </c>
      <c r="I242" s="30">
        <v>3000000</v>
      </c>
      <c r="J242" s="26">
        <v>0</v>
      </c>
      <c r="K242" s="26">
        <f t="shared" si="58"/>
        <v>3000000</v>
      </c>
      <c r="L242" s="28">
        <v>3000000</v>
      </c>
      <c r="M242" s="28">
        <f t="shared" si="57"/>
        <v>0</v>
      </c>
      <c r="N242" s="36" t="s">
        <v>95</v>
      </c>
      <c r="O242" s="29" t="s">
        <v>96</v>
      </c>
      <c r="P242" s="29" t="s">
        <v>73</v>
      </c>
      <c r="Q242" s="29"/>
      <c r="R242" t="s">
        <v>330</v>
      </c>
      <c r="S242" s="7" t="s">
        <v>331</v>
      </c>
      <c r="T242" s="7" t="s">
        <v>72</v>
      </c>
      <c r="U242" s="7"/>
      <c r="V242" s="7"/>
      <c r="W242" s="51">
        <f>X242/Z242</f>
        <v>1164307.0044709388</v>
      </c>
      <c r="X242">
        <f>L242/Y242</f>
        <v>24590.163934426229</v>
      </c>
      <c r="Y242" s="50">
        <v>122</v>
      </c>
      <c r="Z242" s="49">
        <v>2.112E-2</v>
      </c>
    </row>
    <row r="243" spans="1:27" x14ac:dyDescent="0.3">
      <c r="A243" s="29" t="s">
        <v>307</v>
      </c>
      <c r="B243" s="29" t="s">
        <v>123</v>
      </c>
      <c r="C243" s="29" t="s">
        <v>348</v>
      </c>
      <c r="D243" s="29" t="s">
        <v>94</v>
      </c>
      <c r="E243" s="29"/>
      <c r="F243" s="48">
        <v>45442</v>
      </c>
      <c r="G243" s="48">
        <v>45473</v>
      </c>
      <c r="H243" s="29">
        <v>2024</v>
      </c>
      <c r="I243" s="30">
        <v>2000000</v>
      </c>
      <c r="J243" s="26">
        <v>0</v>
      </c>
      <c r="K243" s="26">
        <f t="shared" si="58"/>
        <v>2000000</v>
      </c>
      <c r="L243" s="28">
        <v>1996450</v>
      </c>
      <c r="M243" s="28">
        <f t="shared" si="57"/>
        <v>3550</v>
      </c>
      <c r="N243" s="36" t="s">
        <v>86</v>
      </c>
      <c r="O243" s="29" t="s">
        <v>87</v>
      </c>
      <c r="P243" s="29" t="s">
        <v>70</v>
      </c>
      <c r="Q243" s="29"/>
      <c r="R243" t="s">
        <v>274</v>
      </c>
      <c r="S243" s="7" t="s">
        <v>290</v>
      </c>
      <c r="T243" s="7" t="s">
        <v>72</v>
      </c>
      <c r="U243" s="7" t="s">
        <v>72</v>
      </c>
      <c r="V243" s="7"/>
      <c r="AA243" t="str">
        <f>VLOOKUP(C243,[1]Sheet1!$C:$U,18,0)</f>
        <v/>
      </c>
    </row>
    <row r="244" spans="1:27" x14ac:dyDescent="0.3">
      <c r="A244" s="29" t="s">
        <v>307</v>
      </c>
      <c r="B244" s="29" t="s">
        <v>123</v>
      </c>
      <c r="C244" s="29" t="s">
        <v>348</v>
      </c>
      <c r="D244" s="29" t="s">
        <v>94</v>
      </c>
      <c r="E244" s="29"/>
      <c r="F244" s="48">
        <v>45442</v>
      </c>
      <c r="G244" s="48">
        <v>45473</v>
      </c>
      <c r="H244" s="29">
        <v>2024</v>
      </c>
      <c r="I244" s="30">
        <v>3000000</v>
      </c>
      <c r="J244" s="26">
        <v>0</v>
      </c>
      <c r="K244" s="26">
        <f t="shared" si="58"/>
        <v>3000000</v>
      </c>
      <c r="L244" s="28">
        <v>3000000</v>
      </c>
      <c r="M244" s="28">
        <f t="shared" si="57"/>
        <v>0</v>
      </c>
      <c r="N244" s="36" t="s">
        <v>86</v>
      </c>
      <c r="O244" s="29" t="s">
        <v>87</v>
      </c>
      <c r="P244" s="29" t="s">
        <v>73</v>
      </c>
      <c r="Q244" s="29"/>
      <c r="S244" s="7" t="s">
        <v>290</v>
      </c>
      <c r="T244" s="7" t="s">
        <v>72</v>
      </c>
      <c r="U244" s="7" t="s">
        <v>72</v>
      </c>
      <c r="V244" s="7"/>
      <c r="AA244" t="str">
        <f>VLOOKUP(C244,[1]Sheet1!$C:$U,18,0)</f>
        <v/>
      </c>
    </row>
    <row r="245" spans="1:27" x14ac:dyDescent="0.3">
      <c r="A245" s="29" t="s">
        <v>307</v>
      </c>
      <c r="B245" s="29" t="s">
        <v>125</v>
      </c>
      <c r="C245" s="29" t="s">
        <v>349</v>
      </c>
      <c r="D245" s="29" t="s">
        <v>94</v>
      </c>
      <c r="E245" s="29" t="s">
        <v>10</v>
      </c>
      <c r="F245" s="48">
        <v>45444</v>
      </c>
      <c r="G245" s="48">
        <v>45535</v>
      </c>
      <c r="H245" s="29">
        <v>2024</v>
      </c>
      <c r="I245" s="30">
        <v>2000000</v>
      </c>
      <c r="J245" s="26">
        <v>0</v>
      </c>
      <c r="K245" s="26">
        <f t="shared" si="58"/>
        <v>2000000</v>
      </c>
      <c r="L245" s="28">
        <v>2000000</v>
      </c>
      <c r="M245" s="28">
        <f t="shared" si="57"/>
        <v>0</v>
      </c>
      <c r="N245" s="36" t="s">
        <v>86</v>
      </c>
      <c r="O245" s="29" t="s">
        <v>87</v>
      </c>
      <c r="P245" s="29" t="s">
        <v>70</v>
      </c>
      <c r="Q245" s="29"/>
      <c r="R245" t="s">
        <v>330</v>
      </c>
      <c r="S245" s="7" t="s">
        <v>350</v>
      </c>
      <c r="T245" s="7" t="s">
        <v>72</v>
      </c>
      <c r="U245" s="7"/>
      <c r="V245" s="7"/>
      <c r="W245" s="51">
        <f>X245/Z245</f>
        <v>2222222.222222222</v>
      </c>
      <c r="X245">
        <f>L245/Y245</f>
        <v>22222.222222222223</v>
      </c>
      <c r="Y245" s="50">
        <v>90</v>
      </c>
      <c r="Z245" s="49">
        <v>0.01</v>
      </c>
    </row>
    <row r="246" spans="1:27" x14ac:dyDescent="0.3">
      <c r="A246" s="29" t="s">
        <v>307</v>
      </c>
      <c r="B246" s="29" t="s">
        <v>125</v>
      </c>
      <c r="C246" s="29" t="s">
        <v>351</v>
      </c>
      <c r="D246" s="29" t="s">
        <v>94</v>
      </c>
      <c r="E246" s="29"/>
      <c r="F246" s="48">
        <v>45444</v>
      </c>
      <c r="G246" s="48">
        <v>45535</v>
      </c>
      <c r="H246" s="29">
        <v>2024</v>
      </c>
      <c r="I246" s="30">
        <v>3000000</v>
      </c>
      <c r="J246" s="26">
        <v>0</v>
      </c>
      <c r="K246" s="26">
        <f t="shared" si="58"/>
        <v>3000000</v>
      </c>
      <c r="L246" s="28">
        <v>1971588</v>
      </c>
      <c r="M246" s="38">
        <f t="shared" si="57"/>
        <v>1028412</v>
      </c>
      <c r="N246" s="36" t="s">
        <v>86</v>
      </c>
      <c r="O246" s="29" t="s">
        <v>87</v>
      </c>
      <c r="P246" s="29" t="s">
        <v>73</v>
      </c>
      <c r="Q246" s="29"/>
      <c r="S246" s="7" t="s">
        <v>352</v>
      </c>
      <c r="T246" s="7" t="s">
        <v>72</v>
      </c>
      <c r="U246" s="7" t="s">
        <v>72</v>
      </c>
      <c r="V246" s="7"/>
      <c r="AA246" t="str">
        <f>VLOOKUP(C246,[1]Sheet1!$C:$U,18,0)</f>
        <v/>
      </c>
    </row>
    <row r="247" spans="1:27" x14ac:dyDescent="0.3">
      <c r="A247" s="29" t="s">
        <v>307</v>
      </c>
      <c r="B247" s="29" t="s">
        <v>353</v>
      </c>
      <c r="C247" s="29" t="s">
        <v>354</v>
      </c>
      <c r="D247" s="29" t="s">
        <v>67</v>
      </c>
      <c r="E247" s="29"/>
      <c r="F247" s="48">
        <v>45444</v>
      </c>
      <c r="G247" s="48">
        <v>45535</v>
      </c>
      <c r="H247" s="29">
        <v>2024</v>
      </c>
      <c r="I247" s="30">
        <v>4000000</v>
      </c>
      <c r="J247" s="26">
        <v>4000000</v>
      </c>
      <c r="K247" s="26">
        <f t="shared" si="58"/>
        <v>0</v>
      </c>
      <c r="L247" s="28">
        <v>0</v>
      </c>
      <c r="M247" s="28">
        <f t="shared" si="57"/>
        <v>0</v>
      </c>
      <c r="N247" s="36" t="s">
        <v>68</v>
      </c>
      <c r="O247" s="29" t="s">
        <v>69</v>
      </c>
      <c r="P247" s="29" t="s">
        <v>70</v>
      </c>
      <c r="Q247" s="29"/>
      <c r="S247" s="7" t="s">
        <v>355</v>
      </c>
      <c r="T247" s="7" t="s">
        <v>72</v>
      </c>
      <c r="U247" s="7" t="s">
        <v>72</v>
      </c>
      <c r="V247" s="7" t="s">
        <v>72</v>
      </c>
      <c r="AA247" t="str">
        <f>VLOOKUP(C247,[1]Sheet1!$C:$U,18,0)</f>
        <v/>
      </c>
    </row>
    <row r="248" spans="1:27" x14ac:dyDescent="0.3">
      <c r="A248" s="29" t="s">
        <v>307</v>
      </c>
      <c r="B248" s="29" t="s">
        <v>353</v>
      </c>
      <c r="C248" s="29" t="s">
        <v>354</v>
      </c>
      <c r="D248" s="29" t="s">
        <v>67</v>
      </c>
      <c r="E248" s="29"/>
      <c r="F248" s="48">
        <v>45444</v>
      </c>
      <c r="G248" s="48">
        <v>45535</v>
      </c>
      <c r="H248" s="29">
        <v>2024</v>
      </c>
      <c r="I248" s="30">
        <v>10000000</v>
      </c>
      <c r="J248" s="26">
        <v>10000000</v>
      </c>
      <c r="K248" s="26">
        <f t="shared" si="58"/>
        <v>0</v>
      </c>
      <c r="L248" s="28">
        <v>0</v>
      </c>
      <c r="M248" s="28">
        <f t="shared" si="57"/>
        <v>0</v>
      </c>
      <c r="N248" s="36" t="s">
        <v>68</v>
      </c>
      <c r="O248" s="29" t="s">
        <v>69</v>
      </c>
      <c r="P248" s="29" t="s">
        <v>73</v>
      </c>
      <c r="Q248" s="29"/>
      <c r="S248" s="7" t="s">
        <v>356</v>
      </c>
      <c r="T248" s="7" t="s">
        <v>72</v>
      </c>
      <c r="U248" s="7" t="s">
        <v>72</v>
      </c>
      <c r="V248" s="7" t="s">
        <v>72</v>
      </c>
      <c r="AA248" t="str">
        <f>VLOOKUP(C248,[1]Sheet1!$C:$U,18,0)</f>
        <v/>
      </c>
    </row>
    <row r="249" spans="1:27" x14ac:dyDescent="0.3">
      <c r="A249" s="29" t="s">
        <v>307</v>
      </c>
      <c r="B249" s="29" t="s">
        <v>357</v>
      </c>
      <c r="C249" s="29" t="s">
        <v>358</v>
      </c>
      <c r="D249" s="29" t="s">
        <v>94</v>
      </c>
      <c r="E249" s="29" t="s">
        <v>10</v>
      </c>
      <c r="F249" s="48">
        <v>45445</v>
      </c>
      <c r="G249" s="48">
        <v>45458</v>
      </c>
      <c r="H249" s="29">
        <v>2024</v>
      </c>
      <c r="I249" s="30">
        <v>3000000</v>
      </c>
      <c r="J249" s="26">
        <v>0</v>
      </c>
      <c r="K249" s="26">
        <f t="shared" si="58"/>
        <v>3000000</v>
      </c>
      <c r="L249" s="28">
        <v>3000000</v>
      </c>
      <c r="M249" s="28">
        <f t="shared" si="57"/>
        <v>0</v>
      </c>
      <c r="N249" s="36" t="s">
        <v>68</v>
      </c>
      <c r="O249" s="29" t="s">
        <v>69</v>
      </c>
      <c r="P249" s="29" t="s">
        <v>77</v>
      </c>
      <c r="Q249" s="29"/>
      <c r="R249" t="s">
        <v>330</v>
      </c>
      <c r="S249" s="7" t="s">
        <v>359</v>
      </c>
      <c r="T249" s="7" t="s">
        <v>72</v>
      </c>
      <c r="U249" s="7"/>
      <c r="V249" s="7"/>
      <c r="W249" s="51">
        <f t="shared" ref="W249:W250" si="59">X249/Z249</f>
        <v>1600170.6848730531</v>
      </c>
      <c r="X249">
        <f t="shared" ref="X249:X250" si="60">L249/Y249</f>
        <v>34883.720930232557</v>
      </c>
      <c r="Y249" s="50">
        <v>86</v>
      </c>
      <c r="Z249" s="49">
        <v>2.18E-2</v>
      </c>
    </row>
    <row r="250" spans="1:27" x14ac:dyDescent="0.3">
      <c r="A250" s="29" t="s">
        <v>307</v>
      </c>
      <c r="B250" s="29" t="s">
        <v>357</v>
      </c>
      <c r="C250" s="29" t="s">
        <v>358</v>
      </c>
      <c r="D250" s="29" t="s">
        <v>94</v>
      </c>
      <c r="E250" s="29" t="s">
        <v>10</v>
      </c>
      <c r="F250" s="48">
        <v>45445</v>
      </c>
      <c r="G250" s="48">
        <v>45458</v>
      </c>
      <c r="H250" s="29">
        <v>2024</v>
      </c>
      <c r="I250" s="30">
        <v>3000000</v>
      </c>
      <c r="J250" s="26">
        <v>0</v>
      </c>
      <c r="K250" s="26">
        <f t="shared" si="58"/>
        <v>3000000</v>
      </c>
      <c r="L250" s="28">
        <v>3000000</v>
      </c>
      <c r="M250" s="28">
        <f t="shared" si="57"/>
        <v>0</v>
      </c>
      <c r="N250" s="36" t="s">
        <v>68</v>
      </c>
      <c r="O250" s="29" t="s">
        <v>69</v>
      </c>
      <c r="P250" s="29" t="s">
        <v>70</v>
      </c>
      <c r="Q250" s="29"/>
      <c r="R250" t="s">
        <v>330</v>
      </c>
      <c r="S250" s="7" t="s">
        <v>359</v>
      </c>
      <c r="T250" s="7" t="s">
        <v>72</v>
      </c>
      <c r="U250" s="7"/>
      <c r="V250" s="7"/>
      <c r="W250" s="51">
        <f t="shared" si="59"/>
        <v>1275510.2040816327</v>
      </c>
      <c r="X250">
        <f t="shared" si="60"/>
        <v>14285.714285714286</v>
      </c>
      <c r="Y250" s="50">
        <v>210</v>
      </c>
      <c r="Z250" s="49">
        <v>1.12E-2</v>
      </c>
    </row>
    <row r="251" spans="1:27" x14ac:dyDescent="0.3">
      <c r="A251" s="29" t="s">
        <v>307</v>
      </c>
      <c r="B251" s="29" t="s">
        <v>360</v>
      </c>
      <c r="C251" s="29" t="s">
        <v>361</v>
      </c>
      <c r="D251" s="29" t="s">
        <v>94</v>
      </c>
      <c r="E251" s="29" t="s">
        <v>10</v>
      </c>
      <c r="F251" s="48">
        <v>45455</v>
      </c>
      <c r="G251" s="48">
        <v>45535</v>
      </c>
      <c r="H251" s="29">
        <v>2024</v>
      </c>
      <c r="I251" s="30">
        <v>4000000</v>
      </c>
      <c r="J251" s="26">
        <v>0</v>
      </c>
      <c r="K251" s="26">
        <f t="shared" si="58"/>
        <v>4000000</v>
      </c>
      <c r="L251" s="28">
        <v>4000000</v>
      </c>
      <c r="M251" s="28">
        <f t="shared" si="57"/>
        <v>0</v>
      </c>
      <c r="N251" s="36" t="s">
        <v>68</v>
      </c>
      <c r="O251" s="29" t="s">
        <v>69</v>
      </c>
      <c r="P251" s="29" t="s">
        <v>73</v>
      </c>
      <c r="Q251" s="29"/>
      <c r="R251" t="s">
        <v>330</v>
      </c>
      <c r="S251" s="7" t="s">
        <v>359</v>
      </c>
      <c r="T251" s="7" t="s">
        <v>72</v>
      </c>
      <c r="U251" s="7"/>
      <c r="V251" s="7"/>
      <c r="W251" s="51">
        <v>1695216</v>
      </c>
      <c r="X251">
        <v>30619</v>
      </c>
      <c r="Y251" s="50">
        <f t="shared" ref="Y251" si="61">L251/X251</f>
        <v>130.6378392501388</v>
      </c>
      <c r="Z251" s="49">
        <f t="shared" ref="Z251" si="62">X251/W251</f>
        <v>1.8062005077818993E-2</v>
      </c>
    </row>
    <row r="252" spans="1:27" x14ac:dyDescent="0.3">
      <c r="A252" s="29" t="s">
        <v>307</v>
      </c>
      <c r="B252" s="29" t="s">
        <v>131</v>
      </c>
      <c r="C252" s="29" t="s">
        <v>362</v>
      </c>
      <c r="D252" s="29" t="s">
        <v>94</v>
      </c>
      <c r="E252" s="29" t="s">
        <v>10</v>
      </c>
      <c r="F252" s="48">
        <v>45473</v>
      </c>
      <c r="G252" s="48">
        <v>45565</v>
      </c>
      <c r="H252" s="29">
        <v>2024</v>
      </c>
      <c r="I252" s="30">
        <v>6000000</v>
      </c>
      <c r="J252" s="26">
        <v>0</v>
      </c>
      <c r="K252" s="26">
        <f t="shared" si="58"/>
        <v>6000000</v>
      </c>
      <c r="L252" s="28">
        <v>6000000</v>
      </c>
      <c r="M252" s="28">
        <f t="shared" si="57"/>
        <v>0</v>
      </c>
      <c r="N252" s="36" t="s">
        <v>68</v>
      </c>
      <c r="O252" s="29" t="s">
        <v>69</v>
      </c>
      <c r="P252" s="29" t="s">
        <v>73</v>
      </c>
      <c r="Q252" s="29"/>
      <c r="R252" t="s">
        <v>330</v>
      </c>
      <c r="S252" s="7" t="s">
        <v>359</v>
      </c>
      <c r="T252" s="7" t="s">
        <v>72</v>
      </c>
      <c r="U252" s="7"/>
      <c r="V252" s="7"/>
      <c r="W252" s="51">
        <f t="shared" ref="W252" si="63">X252/Z252</f>
        <v>2595226.819948398</v>
      </c>
      <c r="X252">
        <f t="shared" ref="X252" si="64">L252/Y252</f>
        <v>46875</v>
      </c>
      <c r="Y252" s="50">
        <v>128</v>
      </c>
      <c r="Z252" s="49">
        <v>1.8062005077818993E-2</v>
      </c>
    </row>
    <row r="253" spans="1:27" x14ac:dyDescent="0.3">
      <c r="A253" s="29" t="s">
        <v>307</v>
      </c>
      <c r="B253" s="29" t="s">
        <v>131</v>
      </c>
      <c r="C253" s="29" t="s">
        <v>362</v>
      </c>
      <c r="D253" s="29" t="s">
        <v>94</v>
      </c>
      <c r="E253" s="29" t="s">
        <v>10</v>
      </c>
      <c r="F253" s="48">
        <v>45473</v>
      </c>
      <c r="G253" s="48">
        <v>45565</v>
      </c>
      <c r="H253" s="29">
        <v>2024</v>
      </c>
      <c r="I253" s="30">
        <v>6000000</v>
      </c>
      <c r="J253" s="26">
        <v>0</v>
      </c>
      <c r="K253" s="26">
        <f t="shared" si="58"/>
        <v>6000000</v>
      </c>
      <c r="L253" s="28">
        <v>6000000</v>
      </c>
      <c r="M253" s="28">
        <f t="shared" si="57"/>
        <v>0</v>
      </c>
      <c r="N253" s="36" t="s">
        <v>68</v>
      </c>
      <c r="O253" s="29" t="s">
        <v>69</v>
      </c>
      <c r="P253" s="29" t="s">
        <v>77</v>
      </c>
      <c r="Q253" s="29"/>
      <c r="R253" t="s">
        <v>330</v>
      </c>
      <c r="S253" s="7" t="s">
        <v>359</v>
      </c>
      <c r="T253" s="7" t="s">
        <v>72</v>
      </c>
      <c r="U253" s="7"/>
      <c r="V253" s="7"/>
      <c r="W253" s="51">
        <f t="shared" ref="W253" si="65">X253/Z253</f>
        <v>2542824</v>
      </c>
      <c r="X253">
        <f t="shared" ref="X253" si="66">L253/Y253</f>
        <v>45928.5</v>
      </c>
      <c r="Y253" s="50">
        <v>130.6378392501388</v>
      </c>
      <c r="Z253" s="49">
        <v>1.8062005077818993E-2</v>
      </c>
    </row>
    <row r="254" spans="1:27" x14ac:dyDescent="0.3">
      <c r="A254" s="29" t="s">
        <v>307</v>
      </c>
      <c r="B254" s="29" t="s">
        <v>135</v>
      </c>
      <c r="C254" s="29" t="s">
        <v>363</v>
      </c>
      <c r="D254" s="29" t="s">
        <v>94</v>
      </c>
      <c r="E254" s="29"/>
      <c r="F254" s="48">
        <v>45473</v>
      </c>
      <c r="G254" s="48">
        <v>45565</v>
      </c>
      <c r="H254" s="29">
        <v>2024</v>
      </c>
      <c r="I254" s="30">
        <v>2734924</v>
      </c>
      <c r="J254" s="26">
        <v>0</v>
      </c>
      <c r="K254" s="26">
        <f t="shared" si="58"/>
        <v>2734924</v>
      </c>
      <c r="L254" s="28">
        <v>2734924</v>
      </c>
      <c r="M254" s="28">
        <f t="shared" si="57"/>
        <v>0</v>
      </c>
      <c r="N254" s="36" t="s">
        <v>68</v>
      </c>
      <c r="O254" s="29" t="s">
        <v>69</v>
      </c>
      <c r="P254" s="29" t="s">
        <v>73</v>
      </c>
      <c r="Q254" s="29"/>
      <c r="S254" s="7" t="s">
        <v>138</v>
      </c>
      <c r="T254" s="7" t="s">
        <v>72</v>
      </c>
      <c r="U254" s="7" t="s">
        <v>72</v>
      </c>
      <c r="V254" s="7" t="s">
        <v>72</v>
      </c>
      <c r="AA254" t="str">
        <f>VLOOKUP(C254,[1]Sheet1!$C:$U,18,0)</f>
        <v/>
      </c>
    </row>
    <row r="255" spans="1:27" x14ac:dyDescent="0.3">
      <c r="A255" s="29" t="s">
        <v>307</v>
      </c>
      <c r="B255" s="29" t="s">
        <v>364</v>
      </c>
      <c r="C255" s="29" t="s">
        <v>365</v>
      </c>
      <c r="D255" s="29" t="s">
        <v>94</v>
      </c>
      <c r="E255" s="29" t="s">
        <v>10</v>
      </c>
      <c r="F255" s="48">
        <v>45473</v>
      </c>
      <c r="G255" s="48">
        <v>45565</v>
      </c>
      <c r="H255" s="29">
        <v>2024</v>
      </c>
      <c r="I255" s="30">
        <v>5765076</v>
      </c>
      <c r="J255" s="26">
        <v>0</v>
      </c>
      <c r="K255" s="26">
        <f t="shared" si="58"/>
        <v>5765076</v>
      </c>
      <c r="L255" s="28">
        <v>5765076</v>
      </c>
      <c r="M255" s="28">
        <f t="shared" si="57"/>
        <v>0</v>
      </c>
      <c r="N255" s="36" t="s">
        <v>68</v>
      </c>
      <c r="O255" s="29" t="s">
        <v>69</v>
      </c>
      <c r="P255" s="29" t="s">
        <v>73</v>
      </c>
      <c r="Q255" s="29"/>
      <c r="R255" t="s">
        <v>330</v>
      </c>
      <c r="S255" s="7" t="s">
        <v>359</v>
      </c>
      <c r="T255" s="7" t="s">
        <v>72</v>
      </c>
      <c r="U255" s="7"/>
      <c r="V255" s="7"/>
      <c r="W255" s="51">
        <f t="shared" ref="W255" si="67">X255/Z255</f>
        <v>2067936.466942149</v>
      </c>
      <c r="X255">
        <f t="shared" ref="X255" si="68">L255/Y255</f>
        <v>43674.818181818184</v>
      </c>
      <c r="Y255" s="50">
        <v>132</v>
      </c>
      <c r="Z255" s="49">
        <v>2.112E-2</v>
      </c>
    </row>
    <row r="256" spans="1:27" x14ac:dyDescent="0.3">
      <c r="A256" s="29" t="s">
        <v>307</v>
      </c>
      <c r="B256" s="29" t="s">
        <v>135</v>
      </c>
      <c r="C256" s="29" t="s">
        <v>363</v>
      </c>
      <c r="D256" s="29" t="s">
        <v>94</v>
      </c>
      <c r="E256" s="29"/>
      <c r="F256" s="48">
        <v>45473</v>
      </c>
      <c r="G256" s="48">
        <v>45565</v>
      </c>
      <c r="H256" s="29">
        <v>2024</v>
      </c>
      <c r="I256" s="30">
        <v>2000000</v>
      </c>
      <c r="J256" s="26">
        <v>0</v>
      </c>
      <c r="K256" s="26">
        <f t="shared" si="58"/>
        <v>2000000</v>
      </c>
      <c r="L256" s="28">
        <v>2000000</v>
      </c>
      <c r="M256" s="28">
        <f t="shared" si="57"/>
        <v>0</v>
      </c>
      <c r="N256" s="36" t="s">
        <v>68</v>
      </c>
      <c r="O256" s="29" t="s">
        <v>69</v>
      </c>
      <c r="P256" s="29" t="s">
        <v>77</v>
      </c>
      <c r="Q256" s="29"/>
      <c r="S256" s="7" t="s">
        <v>138</v>
      </c>
      <c r="T256" s="7" t="s">
        <v>72</v>
      </c>
      <c r="U256" s="7" t="s">
        <v>72</v>
      </c>
      <c r="V256" s="7" t="s">
        <v>72</v>
      </c>
      <c r="AA256" t="str">
        <f>VLOOKUP(C256,[1]Sheet1!$C:$U,18,0)</f>
        <v/>
      </c>
    </row>
    <row r="257" spans="1:27" x14ac:dyDescent="0.3">
      <c r="A257" s="29" t="s">
        <v>307</v>
      </c>
      <c r="B257" s="29" t="s">
        <v>364</v>
      </c>
      <c r="C257" s="29" t="s">
        <v>365</v>
      </c>
      <c r="D257" s="29" t="s">
        <v>94</v>
      </c>
      <c r="E257" s="29" t="s">
        <v>10</v>
      </c>
      <c r="F257" s="48">
        <v>45473</v>
      </c>
      <c r="G257" s="48">
        <v>45565</v>
      </c>
      <c r="H257" s="29">
        <v>2024</v>
      </c>
      <c r="I257" s="30">
        <v>6500000</v>
      </c>
      <c r="J257" s="26">
        <v>0</v>
      </c>
      <c r="K257" s="26">
        <f t="shared" si="58"/>
        <v>6500000</v>
      </c>
      <c r="L257" s="28">
        <v>6500000</v>
      </c>
      <c r="M257" s="28">
        <f t="shared" ref="M257:M282" si="69">K257-L257</f>
        <v>0</v>
      </c>
      <c r="N257" s="36" t="s">
        <v>68</v>
      </c>
      <c r="O257" s="29" t="s">
        <v>69</v>
      </c>
      <c r="P257" s="29" t="s">
        <v>77</v>
      </c>
      <c r="Q257" s="29"/>
      <c r="R257" t="s">
        <v>330</v>
      </c>
      <c r="S257" s="7" t="s">
        <v>359</v>
      </c>
      <c r="T257" s="7" t="s">
        <v>72</v>
      </c>
      <c r="U257" s="7"/>
      <c r="V257" s="7"/>
      <c r="W257" s="51">
        <f t="shared" ref="W257" si="70">X257/Z257</f>
        <v>4523261.3636363642</v>
      </c>
      <c r="X257">
        <f t="shared" ref="X257" si="71">L257/Y257</f>
        <v>49755.875</v>
      </c>
      <c r="Y257" s="50">
        <v>130.6378392501388</v>
      </c>
      <c r="Z257" s="49">
        <v>1.0999999999999999E-2</v>
      </c>
    </row>
    <row r="258" spans="1:27" x14ac:dyDescent="0.3">
      <c r="A258" s="29" t="s">
        <v>307</v>
      </c>
      <c r="B258" s="29" t="s">
        <v>366</v>
      </c>
      <c r="C258" s="29" t="s">
        <v>367</v>
      </c>
      <c r="D258" s="29" t="s">
        <v>67</v>
      </c>
      <c r="E258" s="29"/>
      <c r="F258" s="48">
        <v>45485</v>
      </c>
      <c r="G258" s="48">
        <v>45565</v>
      </c>
      <c r="H258" s="29">
        <v>2024</v>
      </c>
      <c r="I258" s="30">
        <v>4500000</v>
      </c>
      <c r="J258" s="26">
        <v>4500000</v>
      </c>
      <c r="K258" s="26">
        <f t="shared" si="58"/>
        <v>0</v>
      </c>
      <c r="L258" s="28">
        <v>0</v>
      </c>
      <c r="M258" s="28">
        <f t="shared" si="69"/>
        <v>0</v>
      </c>
      <c r="N258" s="36" t="s">
        <v>68</v>
      </c>
      <c r="O258" s="29" t="s">
        <v>69</v>
      </c>
      <c r="P258" s="29" t="s">
        <v>70</v>
      </c>
      <c r="Q258" s="29"/>
      <c r="S258" s="7" t="s">
        <v>127</v>
      </c>
      <c r="T258" s="7" t="s">
        <v>72</v>
      </c>
      <c r="U258" s="7" t="s">
        <v>72</v>
      </c>
      <c r="V258" s="7" t="s">
        <v>72</v>
      </c>
      <c r="AA258" t="str">
        <f>VLOOKUP(C258,[1]Sheet1!$C:$U,18,0)</f>
        <v/>
      </c>
    </row>
    <row r="259" spans="1:27" x14ac:dyDescent="0.3">
      <c r="A259" s="29" t="s">
        <v>307</v>
      </c>
      <c r="B259" s="29" t="s">
        <v>366</v>
      </c>
      <c r="C259" s="29" t="s">
        <v>367</v>
      </c>
      <c r="D259" s="29" t="s">
        <v>67</v>
      </c>
      <c r="E259" s="29"/>
      <c r="F259" s="48">
        <v>45485</v>
      </c>
      <c r="G259" s="48">
        <v>45565</v>
      </c>
      <c r="H259" s="29">
        <v>2024</v>
      </c>
      <c r="I259" s="30">
        <v>10000000</v>
      </c>
      <c r="J259" s="26">
        <v>10000000</v>
      </c>
      <c r="K259" s="26">
        <f t="shared" si="58"/>
        <v>0</v>
      </c>
      <c r="L259" s="28">
        <v>0</v>
      </c>
      <c r="M259" s="28">
        <f t="shared" si="69"/>
        <v>0</v>
      </c>
      <c r="N259" s="36" t="s">
        <v>68</v>
      </c>
      <c r="O259" s="29" t="s">
        <v>69</v>
      </c>
      <c r="P259" s="29" t="s">
        <v>73</v>
      </c>
      <c r="Q259" s="29"/>
      <c r="S259" s="7" t="s">
        <v>127</v>
      </c>
      <c r="T259" s="7" t="s">
        <v>72</v>
      </c>
      <c r="U259" s="7" t="s">
        <v>72</v>
      </c>
      <c r="V259" s="7" t="s">
        <v>72</v>
      </c>
      <c r="AA259" t="str">
        <f>VLOOKUP(C259,[1]Sheet1!$C:$U,18,0)</f>
        <v/>
      </c>
    </row>
    <row r="260" spans="1:27" x14ac:dyDescent="0.3">
      <c r="A260" s="29" t="s">
        <v>307</v>
      </c>
      <c r="B260" s="29" t="s">
        <v>368</v>
      </c>
      <c r="C260" s="29" t="s">
        <v>369</v>
      </c>
      <c r="D260" s="29" t="s">
        <v>67</v>
      </c>
      <c r="E260" s="29"/>
      <c r="F260" s="48">
        <v>45485</v>
      </c>
      <c r="G260" s="48">
        <v>45565</v>
      </c>
      <c r="H260" s="29">
        <v>2024</v>
      </c>
      <c r="I260" s="30">
        <v>3000000</v>
      </c>
      <c r="J260" s="26">
        <v>3000000</v>
      </c>
      <c r="K260" s="26">
        <f t="shared" si="58"/>
        <v>0</v>
      </c>
      <c r="L260" s="28">
        <v>0</v>
      </c>
      <c r="M260" s="28">
        <f t="shared" si="69"/>
        <v>0</v>
      </c>
      <c r="N260" s="36" t="s">
        <v>86</v>
      </c>
      <c r="O260" s="29" t="s">
        <v>87</v>
      </c>
      <c r="P260" s="29" t="s">
        <v>70</v>
      </c>
      <c r="Q260" s="29"/>
      <c r="S260" s="7"/>
      <c r="T260" s="7" t="s">
        <v>72</v>
      </c>
      <c r="U260" s="7" t="s">
        <v>72</v>
      </c>
      <c r="V260" s="7" t="s">
        <v>72</v>
      </c>
      <c r="AA260" t="str">
        <f>VLOOKUP(C260,[1]Sheet1!$C:$U,18,0)</f>
        <v/>
      </c>
    </row>
    <row r="261" spans="1:27" x14ac:dyDescent="0.3">
      <c r="A261" s="29" t="s">
        <v>307</v>
      </c>
      <c r="B261" s="29" t="s">
        <v>368</v>
      </c>
      <c r="C261" s="29" t="s">
        <v>369</v>
      </c>
      <c r="D261" s="29" t="s">
        <v>67</v>
      </c>
      <c r="E261" s="29"/>
      <c r="F261" s="48">
        <v>45485</v>
      </c>
      <c r="G261" s="48">
        <v>45565</v>
      </c>
      <c r="H261" s="29">
        <v>2024</v>
      </c>
      <c r="I261" s="30">
        <v>6000000</v>
      </c>
      <c r="J261" s="26">
        <v>6000000</v>
      </c>
      <c r="K261" s="26">
        <f t="shared" si="58"/>
        <v>0</v>
      </c>
      <c r="L261" s="28">
        <v>0</v>
      </c>
      <c r="M261" s="28">
        <f t="shared" si="69"/>
        <v>0</v>
      </c>
      <c r="N261" s="36" t="s">
        <v>86</v>
      </c>
      <c r="O261" s="29" t="s">
        <v>87</v>
      </c>
      <c r="P261" s="29" t="s">
        <v>73</v>
      </c>
      <c r="Q261" s="29"/>
      <c r="S261" s="7"/>
      <c r="T261" s="7" t="s">
        <v>72</v>
      </c>
      <c r="U261" s="7" t="s">
        <v>72</v>
      </c>
      <c r="V261" s="7" t="s">
        <v>72</v>
      </c>
      <c r="AA261" t="str">
        <f>VLOOKUP(C261,[1]Sheet1!$C:$U,18,0)</f>
        <v/>
      </c>
    </row>
    <row r="262" spans="1:27" x14ac:dyDescent="0.3">
      <c r="A262" s="29" t="s">
        <v>307</v>
      </c>
      <c r="B262" s="29" t="s">
        <v>370</v>
      </c>
      <c r="C262" s="29" t="s">
        <v>371</v>
      </c>
      <c r="D262" s="29" t="s">
        <v>94</v>
      </c>
      <c r="E262" s="29"/>
      <c r="F262" s="48">
        <v>45485</v>
      </c>
      <c r="G262" s="48">
        <v>45565</v>
      </c>
      <c r="H262" s="29">
        <v>2024</v>
      </c>
      <c r="I262" s="30">
        <v>6000000</v>
      </c>
      <c r="J262" s="26">
        <v>6000000</v>
      </c>
      <c r="K262" s="26">
        <f t="shared" si="58"/>
        <v>0</v>
      </c>
      <c r="L262" s="28">
        <v>0</v>
      </c>
      <c r="M262" s="28">
        <f t="shared" si="69"/>
        <v>0</v>
      </c>
      <c r="N262" s="36" t="s">
        <v>95</v>
      </c>
      <c r="O262" s="29" t="s">
        <v>96</v>
      </c>
      <c r="P262" s="29" t="s">
        <v>73</v>
      </c>
      <c r="Q262" s="29"/>
      <c r="S262" s="7" t="s">
        <v>372</v>
      </c>
      <c r="T262" s="7" t="s">
        <v>72</v>
      </c>
      <c r="U262" s="7" t="s">
        <v>72</v>
      </c>
      <c r="V262" s="7" t="s">
        <v>72</v>
      </c>
      <c r="AA262" t="str">
        <f>VLOOKUP(C262,[1]Sheet1!$C:$U,18,0)</f>
        <v/>
      </c>
    </row>
    <row r="263" spans="1:27" x14ac:dyDescent="0.3">
      <c r="A263" s="29" t="s">
        <v>307</v>
      </c>
      <c r="B263" s="29" t="s">
        <v>370</v>
      </c>
      <c r="C263" s="29" t="s">
        <v>371</v>
      </c>
      <c r="D263" s="29" t="s">
        <v>94</v>
      </c>
      <c r="E263" s="29"/>
      <c r="F263" s="48">
        <v>45485</v>
      </c>
      <c r="G263" s="48">
        <v>45565</v>
      </c>
      <c r="H263" s="29">
        <v>2024</v>
      </c>
      <c r="I263" s="30">
        <v>4000000</v>
      </c>
      <c r="J263" s="26">
        <v>4000000</v>
      </c>
      <c r="K263" s="26">
        <f t="shared" si="58"/>
        <v>0</v>
      </c>
      <c r="L263" s="28">
        <v>0</v>
      </c>
      <c r="M263" s="28">
        <f t="shared" si="69"/>
        <v>0</v>
      </c>
      <c r="N263" s="36" t="s">
        <v>95</v>
      </c>
      <c r="O263" s="29" t="s">
        <v>96</v>
      </c>
      <c r="P263" s="29" t="s">
        <v>70</v>
      </c>
      <c r="Q263" s="29"/>
      <c r="S263" s="7" t="s">
        <v>372</v>
      </c>
      <c r="T263" s="7" t="s">
        <v>72</v>
      </c>
      <c r="U263" s="7" t="s">
        <v>72</v>
      </c>
      <c r="V263" s="7" t="s">
        <v>72</v>
      </c>
      <c r="AA263" t="str">
        <f>VLOOKUP(C263,[1]Sheet1!$C:$U,18,0)</f>
        <v/>
      </c>
    </row>
    <row r="264" spans="1:27" x14ac:dyDescent="0.3">
      <c r="A264" s="29" t="s">
        <v>307</v>
      </c>
      <c r="B264" s="29" t="s">
        <v>373</v>
      </c>
      <c r="C264" s="29" t="s">
        <v>374</v>
      </c>
      <c r="D264" s="29" t="s">
        <v>94</v>
      </c>
      <c r="E264" s="29" t="s">
        <v>375</v>
      </c>
      <c r="F264" s="48">
        <v>45504</v>
      </c>
      <c r="G264" s="48">
        <v>45657</v>
      </c>
      <c r="H264" s="29">
        <v>2024</v>
      </c>
      <c r="I264" s="30">
        <v>13000000</v>
      </c>
      <c r="J264" s="26">
        <v>0</v>
      </c>
      <c r="K264" s="26">
        <f t="shared" si="58"/>
        <v>13000000</v>
      </c>
      <c r="L264" s="28">
        <v>13000000</v>
      </c>
      <c r="M264" s="28">
        <f t="shared" si="69"/>
        <v>0</v>
      </c>
      <c r="N264" s="36" t="s">
        <v>81</v>
      </c>
      <c r="O264" s="29" t="s">
        <v>82</v>
      </c>
      <c r="P264" s="29" t="s">
        <v>73</v>
      </c>
      <c r="Q264" s="29" t="s">
        <v>12</v>
      </c>
      <c r="S264" s="7" t="s">
        <v>376</v>
      </c>
      <c r="T264" s="7" t="s">
        <v>72</v>
      </c>
      <c r="U264" s="7" t="s">
        <v>72</v>
      </c>
      <c r="V264" s="7"/>
      <c r="AA264" t="str">
        <f>VLOOKUP(C264,[1]Sheet1!$C:$U,18,0)</f>
        <v/>
      </c>
    </row>
    <row r="265" spans="1:27" x14ac:dyDescent="0.3">
      <c r="A265" s="29" t="s">
        <v>307</v>
      </c>
      <c r="B265" s="29" t="s">
        <v>373</v>
      </c>
      <c r="C265" s="29" t="s">
        <v>377</v>
      </c>
      <c r="D265" s="29" t="s">
        <v>94</v>
      </c>
      <c r="E265" s="29" t="s">
        <v>375</v>
      </c>
      <c r="F265" s="48">
        <v>45504</v>
      </c>
      <c r="G265" s="48">
        <v>45657</v>
      </c>
      <c r="H265" s="29">
        <v>2024</v>
      </c>
      <c r="I265" s="30">
        <v>3000000</v>
      </c>
      <c r="J265" s="26">
        <v>0</v>
      </c>
      <c r="K265" s="26">
        <f t="shared" si="58"/>
        <v>3000000</v>
      </c>
      <c r="L265" s="28">
        <v>3000000</v>
      </c>
      <c r="M265" s="28">
        <f t="shared" si="69"/>
        <v>0</v>
      </c>
      <c r="N265" s="36" t="s">
        <v>81</v>
      </c>
      <c r="O265" s="29" t="s">
        <v>82</v>
      </c>
      <c r="P265" s="29" t="s">
        <v>73</v>
      </c>
      <c r="Q265" s="29" t="s">
        <v>12</v>
      </c>
      <c r="S265" s="7" t="s">
        <v>378</v>
      </c>
      <c r="T265" s="7" t="s">
        <v>72</v>
      </c>
      <c r="U265" s="7" t="s">
        <v>72</v>
      </c>
      <c r="V265" s="7"/>
    </row>
    <row r="266" spans="1:27" x14ac:dyDescent="0.3">
      <c r="A266" s="29" t="s">
        <v>307</v>
      </c>
      <c r="B266" s="29" t="s">
        <v>373</v>
      </c>
      <c r="C266" s="29" t="s">
        <v>379</v>
      </c>
      <c r="D266" s="29" t="s">
        <v>94</v>
      </c>
      <c r="E266" s="29" t="s">
        <v>375</v>
      </c>
      <c r="F266" s="48">
        <v>45504</v>
      </c>
      <c r="G266" s="48">
        <v>45657</v>
      </c>
      <c r="H266" s="29">
        <v>2024</v>
      </c>
      <c r="I266" s="30">
        <v>47396000</v>
      </c>
      <c r="J266" s="26">
        <v>0</v>
      </c>
      <c r="K266" s="26">
        <f t="shared" si="58"/>
        <v>47396000</v>
      </c>
      <c r="L266" s="28">
        <v>36000000</v>
      </c>
      <c r="M266" s="28">
        <f t="shared" si="69"/>
        <v>11396000</v>
      </c>
      <c r="N266" s="36" t="s">
        <v>81</v>
      </c>
      <c r="O266" s="29" t="s">
        <v>82</v>
      </c>
      <c r="P266" s="29" t="s">
        <v>73</v>
      </c>
      <c r="Q266" s="29" t="s">
        <v>380</v>
      </c>
      <c r="R266" t="s">
        <v>330</v>
      </c>
      <c r="S266" s="7" t="s">
        <v>381</v>
      </c>
      <c r="T266" s="7" t="s">
        <v>72</v>
      </c>
      <c r="U266" s="7"/>
      <c r="V266" s="7"/>
      <c r="W266" s="51">
        <f t="shared" ref="W266" si="72">X266/Z266</f>
        <v>17331601.71930756</v>
      </c>
      <c r="X266">
        <f t="shared" ref="X266" si="73">L266/Y266</f>
        <v>313043.47826086957</v>
      </c>
      <c r="Y266" s="50">
        <v>115</v>
      </c>
      <c r="Z266" s="49">
        <v>1.8062005077818993E-2</v>
      </c>
    </row>
    <row r="267" spans="1:27" x14ac:dyDescent="0.3">
      <c r="A267" s="29" t="s">
        <v>307</v>
      </c>
      <c r="B267" s="29" t="s">
        <v>373</v>
      </c>
      <c r="C267" s="29" t="s">
        <v>374</v>
      </c>
      <c r="D267" s="29" t="s">
        <v>94</v>
      </c>
      <c r="E267" s="29" t="s">
        <v>12</v>
      </c>
      <c r="F267" s="48">
        <v>45504</v>
      </c>
      <c r="G267" s="48">
        <v>45657</v>
      </c>
      <c r="H267" s="29">
        <v>2024</v>
      </c>
      <c r="I267" s="30">
        <v>16459757</v>
      </c>
      <c r="J267" s="26">
        <v>0</v>
      </c>
      <c r="K267" s="26">
        <f t="shared" si="58"/>
        <v>16459757</v>
      </c>
      <c r="L267" s="28">
        <v>16459757</v>
      </c>
      <c r="M267" s="28">
        <f t="shared" si="69"/>
        <v>0</v>
      </c>
      <c r="N267" s="36" t="s">
        <v>81</v>
      </c>
      <c r="O267" s="29" t="s">
        <v>82</v>
      </c>
      <c r="P267" s="29" t="s">
        <v>70</v>
      </c>
      <c r="Q267" s="29" t="s">
        <v>12</v>
      </c>
      <c r="S267" s="7" t="s">
        <v>376</v>
      </c>
      <c r="T267" s="7" t="s">
        <v>72</v>
      </c>
      <c r="U267" s="7" t="s">
        <v>72</v>
      </c>
      <c r="V267" s="7"/>
      <c r="AA267" t="str">
        <f>VLOOKUP(C267,[1]Sheet1!$C:$U,18,0)</f>
        <v/>
      </c>
    </row>
    <row r="268" spans="1:27" x14ac:dyDescent="0.3">
      <c r="A268" s="29" t="s">
        <v>307</v>
      </c>
      <c r="B268" s="29" t="s">
        <v>373</v>
      </c>
      <c r="C268" s="29" t="s">
        <v>374</v>
      </c>
      <c r="D268" s="29" t="s">
        <v>94</v>
      </c>
      <c r="E268" s="29" t="s">
        <v>12</v>
      </c>
      <c r="F268" s="48">
        <v>45504</v>
      </c>
      <c r="G268" s="48">
        <v>45657</v>
      </c>
      <c r="H268" s="29">
        <v>2024</v>
      </c>
      <c r="I268" s="30">
        <v>540243</v>
      </c>
      <c r="J268" s="26">
        <v>0</v>
      </c>
      <c r="K268" s="26">
        <f t="shared" si="58"/>
        <v>540243</v>
      </c>
      <c r="L268" s="28">
        <v>0</v>
      </c>
      <c r="M268" s="28">
        <f>K268-L268</f>
        <v>540243</v>
      </c>
      <c r="N268" s="36" t="s">
        <v>81</v>
      </c>
      <c r="O268" s="29" t="s">
        <v>82</v>
      </c>
      <c r="P268" s="29" t="s">
        <v>70</v>
      </c>
      <c r="Q268" s="29"/>
      <c r="S268" s="7"/>
      <c r="T268" s="7"/>
      <c r="U268" s="7"/>
      <c r="V268" s="7"/>
    </row>
    <row r="269" spans="1:27" x14ac:dyDescent="0.3">
      <c r="A269" s="29" t="s">
        <v>307</v>
      </c>
      <c r="B269" s="29" t="s">
        <v>373</v>
      </c>
      <c r="C269" s="29" t="s">
        <v>374</v>
      </c>
      <c r="D269" s="29" t="s">
        <v>94</v>
      </c>
      <c r="E269" s="29" t="s">
        <v>281</v>
      </c>
      <c r="F269" s="48">
        <v>45504</v>
      </c>
      <c r="G269" s="48">
        <v>45657</v>
      </c>
      <c r="H269" s="29"/>
      <c r="I269" s="30">
        <v>3000000</v>
      </c>
      <c r="J269" s="26">
        <v>0</v>
      </c>
      <c r="K269" s="26">
        <f t="shared" ref="K269:K272" si="74">I269-J269</f>
        <v>3000000</v>
      </c>
      <c r="L269" s="28">
        <v>0</v>
      </c>
      <c r="M269" s="28">
        <f t="shared" si="69"/>
        <v>3000000</v>
      </c>
      <c r="N269" s="36"/>
      <c r="O269" s="29" t="s">
        <v>82</v>
      </c>
      <c r="P269" s="29" t="s">
        <v>70</v>
      </c>
      <c r="Q269" s="29"/>
      <c r="S269" s="7"/>
      <c r="T269" s="7"/>
      <c r="U269" s="7"/>
      <c r="V269" s="7"/>
    </row>
    <row r="270" spans="1:27" x14ac:dyDescent="0.3">
      <c r="A270" s="29" t="s">
        <v>307</v>
      </c>
      <c r="B270" s="29" t="s">
        <v>373</v>
      </c>
      <c r="C270" s="29" t="s">
        <v>374</v>
      </c>
      <c r="D270" s="29" t="s">
        <v>94</v>
      </c>
      <c r="E270" s="29" t="s">
        <v>14</v>
      </c>
      <c r="F270" s="48">
        <v>45504</v>
      </c>
      <c r="G270" s="48">
        <v>45657</v>
      </c>
      <c r="H270" s="29"/>
      <c r="I270" s="30">
        <v>14000000</v>
      </c>
      <c r="J270" s="26">
        <v>0</v>
      </c>
      <c r="K270" s="26">
        <f t="shared" si="74"/>
        <v>14000000</v>
      </c>
      <c r="L270" s="28">
        <v>0</v>
      </c>
      <c r="M270" s="28">
        <f t="shared" si="69"/>
        <v>14000000</v>
      </c>
      <c r="N270" s="36"/>
      <c r="O270" s="29" t="s">
        <v>82</v>
      </c>
      <c r="P270" s="29" t="s">
        <v>70</v>
      </c>
      <c r="Q270" s="29"/>
      <c r="S270" s="7"/>
      <c r="T270" s="7"/>
      <c r="U270" s="7"/>
      <c r="V270" s="7"/>
    </row>
    <row r="271" spans="1:27" x14ac:dyDescent="0.3">
      <c r="A271" s="29" t="s">
        <v>307</v>
      </c>
      <c r="B271" s="29" t="s">
        <v>373</v>
      </c>
      <c r="C271" s="29" t="s">
        <v>374</v>
      </c>
      <c r="D271" s="29" t="s">
        <v>94</v>
      </c>
      <c r="E271" s="29" t="s">
        <v>15</v>
      </c>
      <c r="F271" s="48">
        <v>45504</v>
      </c>
      <c r="G271" s="48">
        <v>45657</v>
      </c>
      <c r="H271" s="29"/>
      <c r="I271" s="30">
        <v>14000000</v>
      </c>
      <c r="J271" s="26">
        <v>0</v>
      </c>
      <c r="K271" s="26">
        <f t="shared" si="74"/>
        <v>14000000</v>
      </c>
      <c r="L271" s="28">
        <v>0</v>
      </c>
      <c r="M271" s="28">
        <f t="shared" si="69"/>
        <v>14000000</v>
      </c>
      <c r="N271" s="36"/>
      <c r="O271" s="29" t="s">
        <v>82</v>
      </c>
      <c r="P271" s="29" t="s">
        <v>70</v>
      </c>
      <c r="Q271" s="29"/>
      <c r="S271" s="7"/>
      <c r="T271" s="7"/>
      <c r="U271" s="7"/>
      <c r="V271" s="7"/>
    </row>
    <row r="272" spans="1:27" x14ac:dyDescent="0.3">
      <c r="A272" s="29" t="s">
        <v>307</v>
      </c>
      <c r="B272" s="29" t="s">
        <v>373</v>
      </c>
      <c r="C272" s="29" t="s">
        <v>374</v>
      </c>
      <c r="D272" s="29" t="s">
        <v>94</v>
      </c>
      <c r="E272" s="29" t="s">
        <v>16</v>
      </c>
      <c r="F272" s="48">
        <v>45504</v>
      </c>
      <c r="G272" s="48">
        <v>45657</v>
      </c>
      <c r="H272" s="29"/>
      <c r="I272" s="30">
        <v>12000000</v>
      </c>
      <c r="J272" s="26">
        <v>0</v>
      </c>
      <c r="K272" s="26">
        <f t="shared" si="74"/>
        <v>12000000</v>
      </c>
      <c r="L272" s="28">
        <v>0</v>
      </c>
      <c r="M272" s="28">
        <f t="shared" si="69"/>
        <v>12000000</v>
      </c>
      <c r="N272" s="36"/>
      <c r="O272" s="29" t="s">
        <v>82</v>
      </c>
      <c r="P272" s="29" t="s">
        <v>70</v>
      </c>
      <c r="Q272" s="29"/>
      <c r="S272" s="7"/>
      <c r="T272" s="7"/>
      <c r="U272" s="7"/>
      <c r="V272" s="7"/>
    </row>
    <row r="273" spans="1:27" x14ac:dyDescent="0.3">
      <c r="A273" s="29" t="s">
        <v>307</v>
      </c>
      <c r="B273" s="29" t="s">
        <v>373</v>
      </c>
      <c r="C273" s="29" t="s">
        <v>374</v>
      </c>
      <c r="D273" s="29" t="s">
        <v>94</v>
      </c>
      <c r="E273" s="29" t="s">
        <v>12</v>
      </c>
      <c r="F273" s="48">
        <v>45504</v>
      </c>
      <c r="G273" s="48">
        <v>45657</v>
      </c>
      <c r="H273" s="29">
        <v>2024</v>
      </c>
      <c r="I273" s="30">
        <v>3000000</v>
      </c>
      <c r="J273" s="26">
        <v>0</v>
      </c>
      <c r="K273" s="26">
        <f t="shared" si="58"/>
        <v>3000000</v>
      </c>
      <c r="L273" s="28">
        <v>3000000</v>
      </c>
      <c r="M273" s="28">
        <f t="shared" si="69"/>
        <v>0</v>
      </c>
      <c r="N273" s="36" t="s">
        <v>81</v>
      </c>
      <c r="O273" s="29" t="s">
        <v>82</v>
      </c>
      <c r="P273" s="29" t="s">
        <v>77</v>
      </c>
      <c r="Q273" s="29" t="s">
        <v>12</v>
      </c>
      <c r="S273" s="7" t="s">
        <v>376</v>
      </c>
      <c r="T273" s="7" t="s">
        <v>72</v>
      </c>
      <c r="U273" s="7" t="s">
        <v>72</v>
      </c>
      <c r="V273" s="7"/>
      <c r="AA273" t="str">
        <f>VLOOKUP(C273,[1]Sheet1!$C:$U,18,0)</f>
        <v/>
      </c>
    </row>
    <row r="274" spans="1:27" x14ac:dyDescent="0.3">
      <c r="A274" s="29" t="s">
        <v>307</v>
      </c>
      <c r="B274" s="29" t="s">
        <v>373</v>
      </c>
      <c r="C274" s="29" t="s">
        <v>374</v>
      </c>
      <c r="D274" s="29" t="s">
        <v>94</v>
      </c>
      <c r="E274" s="29" t="s">
        <v>281</v>
      </c>
      <c r="F274" s="48">
        <v>45504</v>
      </c>
      <c r="G274" s="48">
        <v>45657</v>
      </c>
      <c r="H274" s="29"/>
      <c r="I274" s="30">
        <v>1000000</v>
      </c>
      <c r="J274" s="26">
        <v>0</v>
      </c>
      <c r="K274" s="26">
        <f t="shared" ref="K274:K277" si="75">I274-J274</f>
        <v>1000000</v>
      </c>
      <c r="L274" s="28">
        <v>1000000</v>
      </c>
      <c r="M274" s="28">
        <f t="shared" si="69"/>
        <v>0</v>
      </c>
      <c r="N274" s="36"/>
      <c r="O274" s="29" t="s">
        <v>82</v>
      </c>
      <c r="P274" s="29" t="s">
        <v>77</v>
      </c>
      <c r="Q274" s="29" t="s">
        <v>12</v>
      </c>
      <c r="S274" s="7" t="s">
        <v>376</v>
      </c>
      <c r="T274" s="7" t="s">
        <v>72</v>
      </c>
      <c r="U274" s="7" t="s">
        <v>72</v>
      </c>
      <c r="V274" s="7"/>
    </row>
    <row r="275" spans="1:27" x14ac:dyDescent="0.3">
      <c r="A275" s="29" t="s">
        <v>307</v>
      </c>
      <c r="B275" s="29" t="s">
        <v>373</v>
      </c>
      <c r="C275" s="29" t="s">
        <v>374</v>
      </c>
      <c r="D275" s="29" t="s">
        <v>94</v>
      </c>
      <c r="E275" s="29" t="s">
        <v>281</v>
      </c>
      <c r="F275" s="48">
        <v>45504</v>
      </c>
      <c r="G275" s="48">
        <v>45657</v>
      </c>
      <c r="H275" s="29"/>
      <c r="I275" s="30">
        <v>3000000</v>
      </c>
      <c r="J275" s="26">
        <v>0</v>
      </c>
      <c r="K275" s="26">
        <f t="shared" ref="K275" si="76">I275-J275</f>
        <v>3000000</v>
      </c>
      <c r="L275" s="28">
        <v>0</v>
      </c>
      <c r="M275" s="28">
        <f t="shared" si="69"/>
        <v>3000000</v>
      </c>
      <c r="N275" s="36"/>
      <c r="O275" s="29" t="s">
        <v>82</v>
      </c>
      <c r="P275" s="29" t="s">
        <v>77</v>
      </c>
      <c r="Q275" s="29"/>
      <c r="S275" s="7"/>
      <c r="T275" s="7"/>
      <c r="U275" s="7"/>
      <c r="V275" s="7"/>
    </row>
    <row r="276" spans="1:27" x14ac:dyDescent="0.3">
      <c r="A276" s="29" t="s">
        <v>307</v>
      </c>
      <c r="B276" s="29" t="s">
        <v>373</v>
      </c>
      <c r="C276" s="29" t="s">
        <v>374</v>
      </c>
      <c r="D276" s="29" t="s">
        <v>94</v>
      </c>
      <c r="E276" s="29" t="s">
        <v>14</v>
      </c>
      <c r="F276" s="48">
        <v>45504</v>
      </c>
      <c r="G276" s="48">
        <v>45657</v>
      </c>
      <c r="H276" s="29"/>
      <c r="I276" s="30">
        <v>4000000</v>
      </c>
      <c r="J276" s="26">
        <v>0</v>
      </c>
      <c r="K276" s="26">
        <f t="shared" si="75"/>
        <v>4000000</v>
      </c>
      <c r="L276" s="28">
        <v>0</v>
      </c>
      <c r="M276" s="28">
        <f t="shared" si="69"/>
        <v>4000000</v>
      </c>
      <c r="N276" s="36"/>
      <c r="O276" s="29" t="s">
        <v>82</v>
      </c>
      <c r="P276" s="29" t="s">
        <v>77</v>
      </c>
      <c r="Q276" s="29"/>
      <c r="S276" s="7"/>
      <c r="T276" s="7"/>
      <c r="U276" s="7"/>
      <c r="V276" s="7"/>
    </row>
    <row r="277" spans="1:27" x14ac:dyDescent="0.3">
      <c r="A277" s="29" t="s">
        <v>307</v>
      </c>
      <c r="B277" s="29" t="s">
        <v>373</v>
      </c>
      <c r="C277" s="29" t="s">
        <v>374</v>
      </c>
      <c r="D277" s="29" t="s">
        <v>94</v>
      </c>
      <c r="E277" s="29" t="s">
        <v>15</v>
      </c>
      <c r="F277" s="48">
        <v>45504</v>
      </c>
      <c r="G277" s="48">
        <v>45657</v>
      </c>
      <c r="H277" s="29"/>
      <c r="I277" s="30">
        <v>4000000</v>
      </c>
      <c r="J277" s="26">
        <v>0</v>
      </c>
      <c r="K277" s="26">
        <f t="shared" si="75"/>
        <v>4000000</v>
      </c>
      <c r="L277" s="28">
        <v>0</v>
      </c>
      <c r="M277" s="28">
        <f t="shared" si="69"/>
        <v>4000000</v>
      </c>
      <c r="N277" s="36"/>
      <c r="O277" s="29" t="s">
        <v>82</v>
      </c>
      <c r="P277" s="29" t="s">
        <v>77</v>
      </c>
      <c r="Q277" s="29"/>
      <c r="S277" s="7"/>
      <c r="T277" s="7"/>
      <c r="U277" s="7"/>
      <c r="V277" s="7"/>
    </row>
    <row r="278" spans="1:27" x14ac:dyDescent="0.3">
      <c r="A278" s="29" t="s">
        <v>307</v>
      </c>
      <c r="B278" s="29" t="s">
        <v>373</v>
      </c>
      <c r="C278" s="29" t="s">
        <v>374</v>
      </c>
      <c r="D278" s="29" t="s">
        <v>94</v>
      </c>
      <c r="E278" s="29" t="s">
        <v>16</v>
      </c>
      <c r="F278" s="48">
        <v>45504</v>
      </c>
      <c r="G278" s="48">
        <v>45657</v>
      </c>
      <c r="H278" s="29">
        <v>2024</v>
      </c>
      <c r="I278" s="30">
        <v>4000000</v>
      </c>
      <c r="J278" s="26">
        <v>0</v>
      </c>
      <c r="K278" s="26">
        <f t="shared" si="58"/>
        <v>4000000</v>
      </c>
      <c r="L278" s="28">
        <v>3000000</v>
      </c>
      <c r="M278" s="28">
        <f t="shared" si="69"/>
        <v>1000000</v>
      </c>
      <c r="N278" s="36" t="s">
        <v>81</v>
      </c>
      <c r="O278" s="29" t="s">
        <v>82</v>
      </c>
      <c r="P278" s="29" t="s">
        <v>77</v>
      </c>
      <c r="Q278" s="29" t="s">
        <v>12</v>
      </c>
      <c r="S278" s="7" t="s">
        <v>378</v>
      </c>
      <c r="T278" s="7" t="s">
        <v>72</v>
      </c>
      <c r="U278" s="7" t="s">
        <v>72</v>
      </c>
      <c r="V278" s="7"/>
    </row>
    <row r="279" spans="1:27" x14ac:dyDescent="0.3">
      <c r="A279" s="29" t="s">
        <v>307</v>
      </c>
      <c r="B279" s="29" t="s">
        <v>382</v>
      </c>
      <c r="C279" s="29" t="s">
        <v>383</v>
      </c>
      <c r="D279" s="29" t="s">
        <v>94</v>
      </c>
      <c r="E279" s="29"/>
      <c r="F279" s="48">
        <v>45513</v>
      </c>
      <c r="G279" s="48">
        <v>45626</v>
      </c>
      <c r="H279" s="29">
        <v>2024</v>
      </c>
      <c r="I279" s="30">
        <v>9198000</v>
      </c>
      <c r="J279" s="26">
        <v>9198000</v>
      </c>
      <c r="K279" s="26">
        <f t="shared" si="58"/>
        <v>0</v>
      </c>
      <c r="L279" s="28">
        <v>0</v>
      </c>
      <c r="M279" s="28">
        <f t="shared" si="69"/>
        <v>0</v>
      </c>
      <c r="N279" s="36" t="s">
        <v>86</v>
      </c>
      <c r="O279" s="29" t="s">
        <v>87</v>
      </c>
      <c r="P279" s="29" t="s">
        <v>70</v>
      </c>
      <c r="Q279" s="29"/>
      <c r="S279" s="7"/>
      <c r="T279" s="7"/>
      <c r="U279" s="7"/>
      <c r="V279" s="7"/>
      <c r="AA279" t="str">
        <f>VLOOKUP(C279,[1]Sheet1!$C:$U,18,0)</f>
        <v/>
      </c>
    </row>
    <row r="280" spans="1:27" x14ac:dyDescent="0.3">
      <c r="A280" s="29" t="s">
        <v>307</v>
      </c>
      <c r="B280" s="29" t="s">
        <v>382</v>
      </c>
      <c r="C280" s="29" t="s">
        <v>384</v>
      </c>
      <c r="D280" s="29" t="s">
        <v>94</v>
      </c>
      <c r="E280" s="29" t="s">
        <v>281</v>
      </c>
      <c r="F280" s="48">
        <v>45513</v>
      </c>
      <c r="G280" s="48">
        <v>45626</v>
      </c>
      <c r="H280" s="29">
        <v>2024</v>
      </c>
      <c r="I280" s="30">
        <v>9104000</v>
      </c>
      <c r="J280" s="26">
        <v>0</v>
      </c>
      <c r="K280" s="26">
        <f t="shared" si="58"/>
        <v>9104000</v>
      </c>
      <c r="L280" s="28">
        <v>9104000</v>
      </c>
      <c r="M280" s="28">
        <f t="shared" si="69"/>
        <v>0</v>
      </c>
      <c r="N280" s="36" t="s">
        <v>86</v>
      </c>
      <c r="O280" s="29" t="s">
        <v>87</v>
      </c>
      <c r="P280" s="29" t="s">
        <v>73</v>
      </c>
      <c r="Q280" s="29" t="s">
        <v>385</v>
      </c>
      <c r="R280" t="s">
        <v>330</v>
      </c>
      <c r="S280" s="7" t="s">
        <v>350</v>
      </c>
      <c r="T280" s="7" t="s">
        <v>72</v>
      </c>
      <c r="U280" s="7"/>
      <c r="V280" s="7"/>
      <c r="W280" s="51">
        <f t="shared" ref="W280:W283" si="77">X280/Z280</f>
        <v>6089632.1070234124</v>
      </c>
      <c r="X280">
        <f t="shared" ref="X280:X283" si="78">L280/Y280</f>
        <v>79165.217391304352</v>
      </c>
      <c r="Y280" s="50">
        <v>115</v>
      </c>
      <c r="Z280" s="49">
        <v>1.2999999999999999E-2</v>
      </c>
    </row>
    <row r="281" spans="1:27" x14ac:dyDescent="0.3">
      <c r="A281" s="29" t="s">
        <v>307</v>
      </c>
      <c r="B281" s="29" t="s">
        <v>382</v>
      </c>
      <c r="C281" s="29" t="s">
        <v>386</v>
      </c>
      <c r="D281" s="29" t="s">
        <v>94</v>
      </c>
      <c r="E281" s="29"/>
      <c r="F281" s="48">
        <v>45513</v>
      </c>
      <c r="G281" s="48">
        <v>45626</v>
      </c>
      <c r="H281" s="29">
        <v>2024</v>
      </c>
      <c r="I281" s="30">
        <v>3094000</v>
      </c>
      <c r="J281" s="26">
        <v>0</v>
      </c>
      <c r="K281" s="26">
        <f t="shared" si="58"/>
        <v>3094000</v>
      </c>
      <c r="L281" s="28">
        <v>1990725</v>
      </c>
      <c r="M281" s="28">
        <f t="shared" si="69"/>
        <v>1103275</v>
      </c>
      <c r="N281" s="36" t="s">
        <v>86</v>
      </c>
      <c r="O281" s="29" t="s">
        <v>87</v>
      </c>
      <c r="P281" s="29" t="s">
        <v>73</v>
      </c>
      <c r="Q281" s="29"/>
      <c r="R281" t="s">
        <v>330</v>
      </c>
      <c r="S281" s="7" t="s">
        <v>331</v>
      </c>
      <c r="T281" s="7" t="s">
        <v>72</v>
      </c>
      <c r="U281" s="7"/>
      <c r="V281" s="7"/>
      <c r="W281" s="51">
        <f t="shared" si="77"/>
        <v>819633.15217391308</v>
      </c>
      <c r="X281">
        <f t="shared" si="78"/>
        <v>17310.652173913044</v>
      </c>
      <c r="Y281" s="50">
        <v>115</v>
      </c>
      <c r="Z281" s="49">
        <v>2.112E-2</v>
      </c>
    </row>
    <row r="282" spans="1:27" x14ac:dyDescent="0.3">
      <c r="A282" s="29" t="s">
        <v>307</v>
      </c>
      <c r="B282" s="29" t="s">
        <v>387</v>
      </c>
      <c r="C282" s="29" t="s">
        <v>388</v>
      </c>
      <c r="D282" s="29" t="s">
        <v>94</v>
      </c>
      <c r="E282" s="29"/>
      <c r="F282" s="48">
        <v>45513</v>
      </c>
      <c r="G282" s="48">
        <v>45626</v>
      </c>
      <c r="H282" s="29">
        <v>2024</v>
      </c>
      <c r="I282" s="30">
        <v>17197500</v>
      </c>
      <c r="J282" s="26">
        <v>0</v>
      </c>
      <c r="K282" s="26">
        <f t="shared" si="58"/>
        <v>17197500</v>
      </c>
      <c r="L282" s="28">
        <v>5870924</v>
      </c>
      <c r="M282" s="28">
        <f t="shared" si="69"/>
        <v>11326576</v>
      </c>
      <c r="N282" s="36" t="s">
        <v>68</v>
      </c>
      <c r="O282" s="29" t="s">
        <v>69</v>
      </c>
      <c r="P282" s="29" t="s">
        <v>70</v>
      </c>
      <c r="Q282" s="29" t="s">
        <v>385</v>
      </c>
      <c r="R282" t="s">
        <v>330</v>
      </c>
      <c r="S282" s="7" t="s">
        <v>359</v>
      </c>
      <c r="T282" s="7" t="s">
        <v>72</v>
      </c>
      <c r="U282" s="7"/>
      <c r="V282" s="7"/>
      <c r="W282" s="51">
        <f t="shared" si="77"/>
        <v>3456958.1145384619</v>
      </c>
      <c r="X282">
        <f t="shared" si="78"/>
        <v>44940.455489</v>
      </c>
      <c r="Y282" s="50">
        <v>130.6378392501388</v>
      </c>
      <c r="Z282" s="49">
        <v>1.2999999999999999E-2</v>
      </c>
    </row>
    <row r="283" spans="1:27" x14ac:dyDescent="0.3">
      <c r="A283" s="29" t="s">
        <v>307</v>
      </c>
      <c r="B283" s="29" t="s">
        <v>387</v>
      </c>
      <c r="C283" s="29" t="s">
        <v>389</v>
      </c>
      <c r="D283" s="29" t="s">
        <v>94</v>
      </c>
      <c r="E283" s="29"/>
      <c r="F283" s="48">
        <v>45513</v>
      </c>
      <c r="G283" s="48">
        <v>45626</v>
      </c>
      <c r="H283" s="29">
        <v>2024</v>
      </c>
      <c r="I283" s="30">
        <v>21197500</v>
      </c>
      <c r="J283" s="26">
        <v>0</v>
      </c>
      <c r="K283" s="26">
        <f t="shared" ref="K283:K329" si="79">I283-J283</f>
        <v>21197500</v>
      </c>
      <c r="L283" s="28">
        <v>21197500</v>
      </c>
      <c r="M283" s="28">
        <f t="shared" si="56"/>
        <v>0</v>
      </c>
      <c r="N283" s="36" t="s">
        <v>68</v>
      </c>
      <c r="O283" s="29" t="s">
        <v>69</v>
      </c>
      <c r="P283" s="29" t="s">
        <v>73</v>
      </c>
      <c r="Q283" s="29"/>
      <c r="R283" t="s">
        <v>330</v>
      </c>
      <c r="S283" s="7" t="s">
        <v>390</v>
      </c>
      <c r="T283" s="7" t="s">
        <v>72</v>
      </c>
      <c r="U283" s="7"/>
      <c r="V283" s="7"/>
      <c r="W283" s="51">
        <f t="shared" si="77"/>
        <v>8411706.3492063489</v>
      </c>
      <c r="X283">
        <f t="shared" si="78"/>
        <v>117763.88888888889</v>
      </c>
      <c r="Y283" s="50">
        <v>180</v>
      </c>
      <c r="Z283" s="49">
        <v>1.4E-2</v>
      </c>
    </row>
    <row r="284" spans="1:27" x14ac:dyDescent="0.3">
      <c r="A284" s="29" t="s">
        <v>307</v>
      </c>
      <c r="B284" s="29" t="s">
        <v>391</v>
      </c>
      <c r="C284" s="29" t="s">
        <v>392</v>
      </c>
      <c r="D284" s="29" t="s">
        <v>94</v>
      </c>
      <c r="E284" s="29"/>
      <c r="F284" s="48">
        <v>45516</v>
      </c>
      <c r="G284" s="48">
        <v>45657</v>
      </c>
      <c r="H284" s="29">
        <v>2024</v>
      </c>
      <c r="I284" s="30">
        <v>8556500</v>
      </c>
      <c r="J284" s="26">
        <v>0</v>
      </c>
      <c r="K284" s="26">
        <f t="shared" si="79"/>
        <v>8556500</v>
      </c>
      <c r="L284" s="28">
        <v>0</v>
      </c>
      <c r="M284" s="28">
        <f t="shared" si="56"/>
        <v>8556500</v>
      </c>
      <c r="N284" s="36" t="s">
        <v>95</v>
      </c>
      <c r="O284" s="29" t="s">
        <v>96</v>
      </c>
      <c r="P284" s="29" t="s">
        <v>73</v>
      </c>
      <c r="Q284" s="29"/>
      <c r="S284" s="7"/>
      <c r="T284" s="7"/>
      <c r="U284" s="7"/>
      <c r="V284" s="7"/>
      <c r="AA284" t="str">
        <f>VLOOKUP(C284,[1]Sheet1!$C:$U,18,0)</f>
        <v/>
      </c>
    </row>
    <row r="285" spans="1:27" x14ac:dyDescent="0.3">
      <c r="A285" s="29" t="s">
        <v>307</v>
      </c>
      <c r="B285" s="29" t="s">
        <v>391</v>
      </c>
      <c r="C285" s="29" t="s">
        <v>392</v>
      </c>
      <c r="D285" s="29" t="s">
        <v>94</v>
      </c>
      <c r="E285" s="29"/>
      <c r="F285" s="48">
        <v>45516</v>
      </c>
      <c r="G285" s="48">
        <v>45657</v>
      </c>
      <c r="H285" s="29">
        <v>2024</v>
      </c>
      <c r="I285" s="30">
        <v>5556500</v>
      </c>
      <c r="J285" s="26">
        <v>0</v>
      </c>
      <c r="K285" s="26">
        <f t="shared" si="79"/>
        <v>5556500</v>
      </c>
      <c r="L285" s="28">
        <v>0</v>
      </c>
      <c r="M285" s="28">
        <f t="shared" ref="M285:M301" si="80">K285-L285</f>
        <v>5556500</v>
      </c>
      <c r="N285" s="36" t="s">
        <v>95</v>
      </c>
      <c r="O285" s="29" t="s">
        <v>96</v>
      </c>
      <c r="P285" s="29" t="s">
        <v>70</v>
      </c>
      <c r="Q285" s="29"/>
      <c r="S285" s="7"/>
      <c r="T285" s="7"/>
      <c r="U285" s="7"/>
      <c r="V285" s="7"/>
      <c r="AA285" t="str">
        <f>VLOOKUP(C285,[1]Sheet1!$C:$U,18,0)</f>
        <v/>
      </c>
    </row>
    <row r="286" spans="1:27" x14ac:dyDescent="0.3">
      <c r="A286" s="29" t="s">
        <v>307</v>
      </c>
      <c r="B286" s="29" t="s">
        <v>393</v>
      </c>
      <c r="C286" s="29" t="s">
        <v>394</v>
      </c>
      <c r="D286" s="29" t="s">
        <v>94</v>
      </c>
      <c r="E286" s="29"/>
      <c r="F286" s="48">
        <v>45527</v>
      </c>
      <c r="G286" s="48">
        <v>45626</v>
      </c>
      <c r="H286" s="29">
        <v>2024</v>
      </c>
      <c r="I286" s="30">
        <v>5000000</v>
      </c>
      <c r="J286" s="26">
        <v>0</v>
      </c>
      <c r="K286" s="26">
        <f t="shared" si="79"/>
        <v>5000000</v>
      </c>
      <c r="L286" s="28">
        <v>5000000</v>
      </c>
      <c r="M286" s="28">
        <f t="shared" si="80"/>
        <v>0</v>
      </c>
      <c r="N286" s="36" t="s">
        <v>68</v>
      </c>
      <c r="O286" s="29" t="s">
        <v>69</v>
      </c>
      <c r="P286" s="29" t="s">
        <v>70</v>
      </c>
      <c r="Q286" s="29"/>
      <c r="R286" t="s">
        <v>330</v>
      </c>
      <c r="S286" s="7" t="s">
        <v>390</v>
      </c>
      <c r="T286" s="7" t="s">
        <v>72</v>
      </c>
      <c r="U286" s="7"/>
      <c r="V286" s="7"/>
      <c r="W286" s="51">
        <f t="shared" ref="W286:W287" si="81">X286/Z286</f>
        <v>3163119.8347107437</v>
      </c>
      <c r="X286">
        <f t="shared" ref="X286:X287" si="82">L286/Y286</f>
        <v>38273.75</v>
      </c>
      <c r="Y286" s="50">
        <v>130.6378392501388</v>
      </c>
      <c r="Z286" s="49">
        <v>1.21E-2</v>
      </c>
    </row>
    <row r="287" spans="1:27" x14ac:dyDescent="0.3">
      <c r="A287" s="29" t="s">
        <v>307</v>
      </c>
      <c r="B287" s="29" t="s">
        <v>393</v>
      </c>
      <c r="C287" s="29" t="s">
        <v>394</v>
      </c>
      <c r="D287" s="29" t="s">
        <v>94</v>
      </c>
      <c r="E287" s="29"/>
      <c r="F287" s="48">
        <v>45527</v>
      </c>
      <c r="G287" s="48">
        <v>45626</v>
      </c>
      <c r="H287" s="29">
        <v>2024</v>
      </c>
      <c r="I287" s="30">
        <v>8616683</v>
      </c>
      <c r="J287" s="26">
        <v>0</v>
      </c>
      <c r="K287" s="26">
        <f t="shared" si="79"/>
        <v>8616683</v>
      </c>
      <c r="L287" s="28">
        <v>8616683</v>
      </c>
      <c r="M287" s="28">
        <f t="shared" si="80"/>
        <v>0</v>
      </c>
      <c r="N287" s="36" t="s">
        <v>68</v>
      </c>
      <c r="O287" s="29" t="s">
        <v>69</v>
      </c>
      <c r="P287" s="29" t="s">
        <v>73</v>
      </c>
      <c r="Q287" s="29"/>
      <c r="R287" t="s">
        <v>330</v>
      </c>
      <c r="S287" s="7" t="s">
        <v>390</v>
      </c>
      <c r="T287" s="7" t="s">
        <v>72</v>
      </c>
      <c r="U287" s="7"/>
      <c r="V287" s="7"/>
      <c r="W287" s="51">
        <f t="shared" si="81"/>
        <v>3817759.4151528575</v>
      </c>
      <c r="X287">
        <f t="shared" si="82"/>
        <v>46576.664864864862</v>
      </c>
      <c r="Y287" s="50">
        <v>185</v>
      </c>
      <c r="Z287" s="49">
        <v>1.2200000000000001E-2</v>
      </c>
    </row>
    <row r="288" spans="1:27" x14ac:dyDescent="0.3">
      <c r="A288" s="29" t="s">
        <v>307</v>
      </c>
      <c r="B288" s="29" t="s">
        <v>393</v>
      </c>
      <c r="C288" s="29" t="s">
        <v>395</v>
      </c>
      <c r="D288" s="29" t="s">
        <v>94</v>
      </c>
      <c r="E288" s="29"/>
      <c r="F288" s="48">
        <v>45527</v>
      </c>
      <c r="G288" s="48">
        <v>45626</v>
      </c>
      <c r="H288" s="29">
        <v>2024</v>
      </c>
      <c r="I288" s="30">
        <v>1383317</v>
      </c>
      <c r="J288" s="26">
        <v>0</v>
      </c>
      <c r="K288" s="26">
        <f t="shared" ref="K288" si="83">I288-J288</f>
        <v>1383317</v>
      </c>
      <c r="L288" s="28">
        <v>0</v>
      </c>
      <c r="M288" s="28">
        <f t="shared" si="80"/>
        <v>1383317</v>
      </c>
      <c r="N288" s="36" t="s">
        <v>68</v>
      </c>
      <c r="O288" s="29" t="s">
        <v>69</v>
      </c>
      <c r="P288" s="29" t="s">
        <v>73</v>
      </c>
      <c r="Q288" s="29"/>
      <c r="S288" s="7"/>
      <c r="T288" s="7"/>
      <c r="U288" s="7"/>
      <c r="V288" s="7"/>
    </row>
    <row r="289" spans="1:27" x14ac:dyDescent="0.3">
      <c r="A289" s="29" t="s">
        <v>307</v>
      </c>
      <c r="B289" s="29" t="s">
        <v>161</v>
      </c>
      <c r="C289" s="29" t="s">
        <v>396</v>
      </c>
      <c r="D289" s="29" t="s">
        <v>94</v>
      </c>
      <c r="E289" s="29"/>
      <c r="F289" s="48">
        <v>45566</v>
      </c>
      <c r="G289" s="48">
        <v>45657</v>
      </c>
      <c r="H289" s="29">
        <v>2024</v>
      </c>
      <c r="I289" s="30">
        <v>2000000</v>
      </c>
      <c r="J289" s="26">
        <v>0</v>
      </c>
      <c r="K289" s="26">
        <f t="shared" si="79"/>
        <v>2000000</v>
      </c>
      <c r="L289" s="28">
        <v>0</v>
      </c>
      <c r="M289" s="28">
        <f t="shared" si="80"/>
        <v>2000000</v>
      </c>
      <c r="N289" s="36" t="s">
        <v>95</v>
      </c>
      <c r="O289" s="29" t="s">
        <v>96</v>
      </c>
      <c r="P289" s="29" t="s">
        <v>77</v>
      </c>
      <c r="Q289" s="29"/>
      <c r="S289" s="7"/>
      <c r="T289" s="7"/>
      <c r="U289" s="7"/>
      <c r="V289" s="7"/>
      <c r="AA289" t="str">
        <f>VLOOKUP(C289,[1]Sheet1!$C:$U,18,0)</f>
        <v/>
      </c>
    </row>
    <row r="290" spans="1:27" x14ac:dyDescent="0.3">
      <c r="A290" s="29" t="s">
        <v>307</v>
      </c>
      <c r="B290" s="29" t="s">
        <v>161</v>
      </c>
      <c r="C290" s="29" t="s">
        <v>396</v>
      </c>
      <c r="D290" s="29" t="s">
        <v>94</v>
      </c>
      <c r="E290" s="29"/>
      <c r="F290" s="48">
        <v>45566</v>
      </c>
      <c r="G290" s="48">
        <v>45657</v>
      </c>
      <c r="H290" s="29">
        <v>2024</v>
      </c>
      <c r="I290" s="30">
        <v>2000000</v>
      </c>
      <c r="J290" s="26">
        <v>0</v>
      </c>
      <c r="K290" s="26">
        <f t="shared" si="79"/>
        <v>2000000</v>
      </c>
      <c r="L290" s="28">
        <v>0</v>
      </c>
      <c r="M290" s="28">
        <f t="shared" si="80"/>
        <v>2000000</v>
      </c>
      <c r="N290" s="36" t="s">
        <v>95</v>
      </c>
      <c r="O290" s="29" t="s">
        <v>96</v>
      </c>
      <c r="P290" s="29" t="s">
        <v>73</v>
      </c>
      <c r="Q290" s="29"/>
      <c r="S290" s="7"/>
      <c r="T290" s="7"/>
      <c r="U290" s="7"/>
      <c r="V290" s="7"/>
      <c r="AA290" t="str">
        <f>VLOOKUP(C290,[1]Sheet1!$C:$U,18,0)</f>
        <v/>
      </c>
    </row>
    <row r="291" spans="1:27" x14ac:dyDescent="0.3">
      <c r="A291" s="29" t="s">
        <v>307</v>
      </c>
      <c r="B291" s="29" t="s">
        <v>163</v>
      </c>
      <c r="C291" s="29" t="s">
        <v>397</v>
      </c>
      <c r="D291" s="29" t="s">
        <v>94</v>
      </c>
      <c r="E291" s="29"/>
      <c r="F291" s="48">
        <v>45566</v>
      </c>
      <c r="G291" s="48">
        <v>45657</v>
      </c>
      <c r="H291" s="29">
        <v>2024</v>
      </c>
      <c r="I291" s="30">
        <v>13500000</v>
      </c>
      <c r="J291" s="26">
        <v>0</v>
      </c>
      <c r="K291" s="26">
        <f t="shared" si="79"/>
        <v>13500000</v>
      </c>
      <c r="L291" s="28">
        <v>0</v>
      </c>
      <c r="M291" s="28">
        <f t="shared" si="80"/>
        <v>13500000</v>
      </c>
      <c r="N291" s="36" t="s">
        <v>86</v>
      </c>
      <c r="O291" s="29" t="s">
        <v>87</v>
      </c>
      <c r="P291" s="29" t="s">
        <v>73</v>
      </c>
      <c r="Q291" s="29"/>
      <c r="S291" s="7"/>
      <c r="T291" s="7"/>
      <c r="U291" s="7"/>
      <c r="V291" s="7"/>
      <c r="AA291" t="str">
        <f>VLOOKUP(C291,[1]Sheet1!$C:$U,18,0)</f>
        <v/>
      </c>
    </row>
    <row r="292" spans="1:27" x14ac:dyDescent="0.3">
      <c r="A292" s="29" t="s">
        <v>307</v>
      </c>
      <c r="B292" s="29" t="s">
        <v>163</v>
      </c>
      <c r="C292" s="29" t="s">
        <v>397</v>
      </c>
      <c r="D292" s="29" t="s">
        <v>94</v>
      </c>
      <c r="E292" s="29"/>
      <c r="F292" s="48">
        <v>45566</v>
      </c>
      <c r="G292" s="48">
        <v>45657</v>
      </c>
      <c r="H292" s="29">
        <v>2024</v>
      </c>
      <c r="I292" s="30">
        <v>13500000</v>
      </c>
      <c r="J292" s="26">
        <v>0</v>
      </c>
      <c r="K292" s="26">
        <f t="shared" si="79"/>
        <v>13500000</v>
      </c>
      <c r="L292" s="28">
        <v>0</v>
      </c>
      <c r="M292" s="28">
        <f t="shared" si="80"/>
        <v>13500000</v>
      </c>
      <c r="N292" s="36" t="s">
        <v>86</v>
      </c>
      <c r="O292" s="29" t="s">
        <v>87</v>
      </c>
      <c r="P292" s="29" t="s">
        <v>77</v>
      </c>
      <c r="Q292" s="29"/>
      <c r="S292" s="7"/>
      <c r="T292" s="7"/>
      <c r="U292" s="7"/>
      <c r="V292" s="7"/>
      <c r="AA292" t="str">
        <f>VLOOKUP(C292,[1]Sheet1!$C:$U,18,0)</f>
        <v/>
      </c>
    </row>
    <row r="293" spans="1:27" x14ac:dyDescent="0.3">
      <c r="A293" s="29" t="s">
        <v>307</v>
      </c>
      <c r="B293" s="29" t="s">
        <v>167</v>
      </c>
      <c r="C293" s="29" t="s">
        <v>398</v>
      </c>
      <c r="D293" s="29" t="s">
        <v>94</v>
      </c>
      <c r="E293" s="29"/>
      <c r="F293" s="48">
        <v>45566</v>
      </c>
      <c r="G293" s="48">
        <v>45657</v>
      </c>
      <c r="H293" s="29">
        <v>2024</v>
      </c>
      <c r="I293" s="30">
        <v>31800000</v>
      </c>
      <c r="J293" s="26">
        <v>0</v>
      </c>
      <c r="K293" s="26">
        <f t="shared" si="79"/>
        <v>31800000</v>
      </c>
      <c r="L293" s="28">
        <v>0</v>
      </c>
      <c r="M293" s="28">
        <f t="shared" si="80"/>
        <v>31800000</v>
      </c>
      <c r="N293" s="36" t="s">
        <v>81</v>
      </c>
      <c r="O293" s="29" t="s">
        <v>82</v>
      </c>
      <c r="P293" s="29" t="s">
        <v>70</v>
      </c>
      <c r="Q293" s="29"/>
      <c r="S293" s="7"/>
      <c r="T293" s="7"/>
      <c r="U293" s="7"/>
      <c r="V293" s="7"/>
      <c r="AA293" t="str">
        <f>VLOOKUP(C293,[1]Sheet1!$C:$U,18,0)</f>
        <v/>
      </c>
    </row>
    <row r="294" spans="1:27" x14ac:dyDescent="0.3">
      <c r="A294" s="29" t="s">
        <v>307</v>
      </c>
      <c r="B294" s="29" t="s">
        <v>167</v>
      </c>
      <c r="C294" s="29" t="s">
        <v>398</v>
      </c>
      <c r="D294" s="29" t="s">
        <v>94</v>
      </c>
      <c r="E294" s="29"/>
      <c r="F294" s="48">
        <v>45566</v>
      </c>
      <c r="G294" s="48">
        <v>45657</v>
      </c>
      <c r="H294" s="29">
        <v>2024</v>
      </c>
      <c r="I294" s="30">
        <v>31800000</v>
      </c>
      <c r="J294" s="26">
        <v>0</v>
      </c>
      <c r="K294" s="26">
        <f t="shared" si="79"/>
        <v>31800000</v>
      </c>
      <c r="L294" s="28">
        <v>0</v>
      </c>
      <c r="M294" s="28">
        <f t="shared" si="80"/>
        <v>31800000</v>
      </c>
      <c r="N294" s="36" t="s">
        <v>81</v>
      </c>
      <c r="O294" s="29" t="s">
        <v>82</v>
      </c>
      <c r="P294" s="29" t="s">
        <v>73</v>
      </c>
      <c r="Q294" s="29"/>
      <c r="S294" s="7"/>
      <c r="T294" s="7"/>
      <c r="U294" s="7"/>
      <c r="V294" s="7"/>
      <c r="AA294" t="str">
        <f>VLOOKUP(C294,[1]Sheet1!$C:$U,18,0)</f>
        <v/>
      </c>
    </row>
    <row r="295" spans="1:27" x14ac:dyDescent="0.3">
      <c r="A295" s="29" t="s">
        <v>307</v>
      </c>
      <c r="B295" s="29" t="s">
        <v>167</v>
      </c>
      <c r="C295" s="29" t="s">
        <v>398</v>
      </c>
      <c r="D295" s="29" t="s">
        <v>94</v>
      </c>
      <c r="E295" s="29"/>
      <c r="F295" s="48">
        <v>45566</v>
      </c>
      <c r="G295" s="48">
        <v>45657</v>
      </c>
      <c r="H295" s="29">
        <v>2024</v>
      </c>
      <c r="I295" s="30">
        <v>32400000</v>
      </c>
      <c r="J295" s="26">
        <v>0</v>
      </c>
      <c r="K295" s="26">
        <f t="shared" si="79"/>
        <v>32400000</v>
      </c>
      <c r="L295" s="28">
        <v>0</v>
      </c>
      <c r="M295" s="28">
        <f t="shared" si="80"/>
        <v>32400000</v>
      </c>
      <c r="N295" s="36" t="s">
        <v>81</v>
      </c>
      <c r="O295" s="29" t="s">
        <v>82</v>
      </c>
      <c r="P295" s="29" t="s">
        <v>77</v>
      </c>
      <c r="Q295" s="29"/>
      <c r="S295" s="7"/>
      <c r="T295" s="7"/>
      <c r="U295" s="7"/>
      <c r="V295" s="7"/>
      <c r="AA295" t="str">
        <f>VLOOKUP(C295,[1]Sheet1!$C:$U,18,0)</f>
        <v/>
      </c>
    </row>
    <row r="296" spans="1:27" x14ac:dyDescent="0.3">
      <c r="A296" s="29" t="s">
        <v>307</v>
      </c>
      <c r="B296" s="29" t="s">
        <v>173</v>
      </c>
      <c r="C296" s="29" t="s">
        <v>399</v>
      </c>
      <c r="D296" s="29" t="s">
        <v>94</v>
      </c>
      <c r="E296" s="29"/>
      <c r="F296" s="48">
        <v>45566</v>
      </c>
      <c r="G296" s="48">
        <v>45657</v>
      </c>
      <c r="H296" s="29">
        <v>2024</v>
      </c>
      <c r="I296" s="30">
        <v>24000000</v>
      </c>
      <c r="J296" s="26">
        <v>0</v>
      </c>
      <c r="K296" s="26">
        <f t="shared" si="79"/>
        <v>24000000</v>
      </c>
      <c r="L296" s="28">
        <v>0</v>
      </c>
      <c r="M296" s="28">
        <f t="shared" si="80"/>
        <v>24000000</v>
      </c>
      <c r="N296" s="36" t="s">
        <v>68</v>
      </c>
      <c r="O296" s="29" t="s">
        <v>69</v>
      </c>
      <c r="P296" s="29" t="s">
        <v>73</v>
      </c>
      <c r="Q296" s="29"/>
      <c r="S296" s="7"/>
      <c r="T296" s="7"/>
      <c r="U296" s="7"/>
      <c r="V296" s="7"/>
      <c r="AA296" t="str">
        <f>VLOOKUP(C296,[1]Sheet1!$C:$U,18,0)</f>
        <v/>
      </c>
    </row>
    <row r="297" spans="1:27" x14ac:dyDescent="0.3">
      <c r="A297" s="29" t="s">
        <v>307</v>
      </c>
      <c r="B297" s="29" t="s">
        <v>173</v>
      </c>
      <c r="C297" s="29" t="s">
        <v>399</v>
      </c>
      <c r="D297" s="29" t="s">
        <v>94</v>
      </c>
      <c r="E297" s="29"/>
      <c r="F297" s="48">
        <v>45566</v>
      </c>
      <c r="G297" s="48">
        <v>45657</v>
      </c>
      <c r="H297" s="29">
        <v>2024</v>
      </c>
      <c r="I297" s="30">
        <v>24000000</v>
      </c>
      <c r="J297" s="26">
        <v>0</v>
      </c>
      <c r="K297" s="26">
        <f t="shared" si="79"/>
        <v>24000000</v>
      </c>
      <c r="L297" s="28">
        <v>0</v>
      </c>
      <c r="M297" s="28">
        <f t="shared" si="80"/>
        <v>24000000</v>
      </c>
      <c r="N297" s="36" t="s">
        <v>68</v>
      </c>
      <c r="O297" s="29" t="s">
        <v>69</v>
      </c>
      <c r="P297" s="29" t="s">
        <v>77</v>
      </c>
      <c r="Q297" s="29"/>
      <c r="S297" s="7"/>
      <c r="T297" s="7"/>
      <c r="U297" s="7"/>
      <c r="V297" s="7"/>
      <c r="AA297" t="str">
        <f>VLOOKUP(C297,[1]Sheet1!$C:$U,18,0)</f>
        <v/>
      </c>
    </row>
    <row r="298" spans="1:27" x14ac:dyDescent="0.3">
      <c r="A298" s="29" t="s">
        <v>307</v>
      </c>
      <c r="B298" s="29" t="s">
        <v>178</v>
      </c>
      <c r="C298" s="29" t="s">
        <v>400</v>
      </c>
      <c r="D298" s="29" t="s">
        <v>94</v>
      </c>
      <c r="E298" s="29"/>
      <c r="F298" s="48">
        <v>45577</v>
      </c>
      <c r="G298" s="48">
        <v>45657</v>
      </c>
      <c r="H298" s="29">
        <v>2024</v>
      </c>
      <c r="I298" s="30">
        <v>3000000</v>
      </c>
      <c r="J298" s="26">
        <v>0</v>
      </c>
      <c r="K298" s="26">
        <f t="shared" si="79"/>
        <v>3000000</v>
      </c>
      <c r="L298" s="28">
        <v>0</v>
      </c>
      <c r="M298" s="28">
        <f t="shared" si="80"/>
        <v>3000000</v>
      </c>
      <c r="N298" s="36" t="s">
        <v>68</v>
      </c>
      <c r="O298" s="29" t="s">
        <v>69</v>
      </c>
      <c r="P298" s="29" t="s">
        <v>70</v>
      </c>
      <c r="Q298" s="29"/>
      <c r="S298" s="7"/>
      <c r="T298" s="7"/>
      <c r="U298" s="7"/>
      <c r="V298" s="7"/>
      <c r="AA298" t="str">
        <f>VLOOKUP(C298,[1]Sheet1!$C:$U,18,0)</f>
        <v/>
      </c>
    </row>
    <row r="299" spans="1:27" x14ac:dyDescent="0.3">
      <c r="A299" s="29" t="s">
        <v>307</v>
      </c>
      <c r="B299" s="29" t="s">
        <v>180</v>
      </c>
      <c r="C299" s="29" t="s">
        <v>401</v>
      </c>
      <c r="D299" s="29" t="s">
        <v>94</v>
      </c>
      <c r="E299" s="29"/>
      <c r="F299" s="48">
        <v>45577</v>
      </c>
      <c r="G299" s="48">
        <v>45657</v>
      </c>
      <c r="H299" s="29">
        <v>2024</v>
      </c>
      <c r="I299" s="30">
        <v>4000000</v>
      </c>
      <c r="J299" s="26">
        <v>0</v>
      </c>
      <c r="K299" s="26">
        <f t="shared" si="79"/>
        <v>4000000</v>
      </c>
      <c r="L299" s="28">
        <v>0</v>
      </c>
      <c r="M299" s="28">
        <f t="shared" si="80"/>
        <v>4000000</v>
      </c>
      <c r="N299" s="36" t="s">
        <v>68</v>
      </c>
      <c r="O299" s="29" t="s">
        <v>69</v>
      </c>
      <c r="P299" s="29" t="s">
        <v>70</v>
      </c>
      <c r="Q299" s="29"/>
      <c r="S299" s="7"/>
      <c r="T299" s="7"/>
      <c r="U299" s="7"/>
      <c r="V299" s="7"/>
      <c r="AA299" t="str">
        <f>VLOOKUP(C299,[1]Sheet1!$C:$U,18,0)</f>
        <v/>
      </c>
    </row>
    <row r="300" spans="1:27" x14ac:dyDescent="0.3">
      <c r="A300" s="29" t="s">
        <v>307</v>
      </c>
      <c r="B300" s="29" t="s">
        <v>180</v>
      </c>
      <c r="C300" s="29" t="s">
        <v>401</v>
      </c>
      <c r="D300" s="29" t="s">
        <v>94</v>
      </c>
      <c r="E300" s="29"/>
      <c r="F300" s="48">
        <v>45577</v>
      </c>
      <c r="G300" s="48">
        <v>45657</v>
      </c>
      <c r="H300" s="29">
        <v>2024</v>
      </c>
      <c r="I300" s="30">
        <v>5500000</v>
      </c>
      <c r="J300" s="26">
        <v>0</v>
      </c>
      <c r="K300" s="26">
        <f t="shared" si="79"/>
        <v>5500000</v>
      </c>
      <c r="L300" s="28">
        <v>0</v>
      </c>
      <c r="M300" s="28">
        <f t="shared" si="80"/>
        <v>5500000</v>
      </c>
      <c r="N300" s="36" t="s">
        <v>68</v>
      </c>
      <c r="O300" s="29" t="s">
        <v>69</v>
      </c>
      <c r="P300" s="29" t="s">
        <v>73</v>
      </c>
      <c r="Q300" s="29"/>
      <c r="S300" s="7"/>
      <c r="T300" s="7"/>
      <c r="U300" s="7"/>
      <c r="V300" s="7"/>
      <c r="AA300" t="str">
        <f>VLOOKUP(C300,[1]Sheet1!$C:$U,18,0)</f>
        <v/>
      </c>
    </row>
    <row r="301" spans="1:27" x14ac:dyDescent="0.3">
      <c r="A301" s="29" t="s">
        <v>307</v>
      </c>
      <c r="B301" s="29" t="s">
        <v>180</v>
      </c>
      <c r="C301" s="29" t="s">
        <v>401</v>
      </c>
      <c r="D301" s="29" t="s">
        <v>94</v>
      </c>
      <c r="E301" s="29"/>
      <c r="F301" s="48">
        <v>45577</v>
      </c>
      <c r="G301" s="48">
        <v>45657</v>
      </c>
      <c r="H301" s="29">
        <v>2024</v>
      </c>
      <c r="I301" s="30">
        <v>4000000</v>
      </c>
      <c r="J301" s="26">
        <v>0</v>
      </c>
      <c r="K301" s="26">
        <f t="shared" si="79"/>
        <v>4000000</v>
      </c>
      <c r="L301" s="28">
        <v>0</v>
      </c>
      <c r="M301" s="28">
        <f t="shared" si="80"/>
        <v>4000000</v>
      </c>
      <c r="N301" s="36" t="s">
        <v>68</v>
      </c>
      <c r="O301" s="29" t="s">
        <v>69</v>
      </c>
      <c r="P301" s="29" t="s">
        <v>77</v>
      </c>
      <c r="Q301" s="29"/>
      <c r="S301" s="7"/>
      <c r="T301" s="7"/>
      <c r="U301" s="7"/>
      <c r="V301" s="7"/>
      <c r="AA301" t="str">
        <f>VLOOKUP(C301,[1]Sheet1!$C:$U,18,0)</f>
        <v/>
      </c>
    </row>
    <row r="302" spans="1:27" x14ac:dyDescent="0.3">
      <c r="A302" s="29" t="s">
        <v>402</v>
      </c>
      <c r="B302" s="29" t="s">
        <v>65</v>
      </c>
      <c r="C302" s="29" t="s">
        <v>403</v>
      </c>
      <c r="D302" s="29" t="s">
        <v>67</v>
      </c>
      <c r="E302" s="29"/>
      <c r="F302" s="48">
        <v>45301</v>
      </c>
      <c r="G302" s="48">
        <v>45382</v>
      </c>
      <c r="H302" s="29">
        <v>2024</v>
      </c>
      <c r="I302" s="30">
        <v>867665</v>
      </c>
      <c r="J302" s="26">
        <v>867665</v>
      </c>
      <c r="K302" s="26">
        <v>0</v>
      </c>
      <c r="L302" s="28">
        <v>0</v>
      </c>
      <c r="M302" s="27">
        <f t="shared" ref="M302:M309" si="84">K302-L302</f>
        <v>0</v>
      </c>
      <c r="N302" s="36" t="s">
        <v>68</v>
      </c>
      <c r="O302" s="29" t="s">
        <v>69</v>
      </c>
      <c r="P302" s="29" t="s">
        <v>70</v>
      </c>
      <c r="Q302" s="29"/>
      <c r="S302" s="7" t="s">
        <v>404</v>
      </c>
      <c r="T302" s="7" t="s">
        <v>72</v>
      </c>
      <c r="U302" s="7" t="s">
        <v>72</v>
      </c>
      <c r="V302" s="7" t="s">
        <v>72</v>
      </c>
      <c r="AA302" t="str">
        <f>VLOOKUP(C302,[1]Sheet1!$C:$U,18,0)</f>
        <v/>
      </c>
    </row>
    <row r="303" spans="1:27" x14ac:dyDescent="0.3">
      <c r="A303" s="29" t="s">
        <v>402</v>
      </c>
      <c r="B303" s="29" t="s">
        <v>65</v>
      </c>
      <c r="C303" s="29" t="s">
        <v>403</v>
      </c>
      <c r="D303" s="29" t="s">
        <v>67</v>
      </c>
      <c r="E303" s="29"/>
      <c r="F303" s="48">
        <v>45301</v>
      </c>
      <c r="G303" s="48">
        <v>45382</v>
      </c>
      <c r="H303" s="29">
        <v>2024</v>
      </c>
      <c r="I303" s="30">
        <v>867666</v>
      </c>
      <c r="J303" s="26">
        <v>867666</v>
      </c>
      <c r="K303" s="26">
        <v>0</v>
      </c>
      <c r="L303" s="28">
        <v>0</v>
      </c>
      <c r="M303" s="27">
        <f t="shared" si="84"/>
        <v>0</v>
      </c>
      <c r="N303" s="36" t="s">
        <v>68</v>
      </c>
      <c r="O303" s="29" t="s">
        <v>69</v>
      </c>
      <c r="P303" s="29" t="s">
        <v>73</v>
      </c>
      <c r="Q303" s="29"/>
      <c r="S303" s="7" t="s">
        <v>404</v>
      </c>
      <c r="T303" s="7" t="s">
        <v>72</v>
      </c>
      <c r="U303" s="7" t="s">
        <v>72</v>
      </c>
      <c r="V303" s="7" t="s">
        <v>72</v>
      </c>
      <c r="AA303" t="str">
        <f>VLOOKUP(C303,[1]Sheet1!$C:$U,18,0)</f>
        <v/>
      </c>
    </row>
    <row r="304" spans="1:27" x14ac:dyDescent="0.3">
      <c r="A304" s="29" t="s">
        <v>402</v>
      </c>
      <c r="B304" s="29" t="s">
        <v>74</v>
      </c>
      <c r="C304" s="29" t="s">
        <v>405</v>
      </c>
      <c r="D304" s="29" t="s">
        <v>67</v>
      </c>
      <c r="E304" s="29"/>
      <c r="F304" s="48">
        <v>45303</v>
      </c>
      <c r="G304" s="48">
        <v>45382</v>
      </c>
      <c r="H304" s="29">
        <v>2024</v>
      </c>
      <c r="I304" s="30">
        <v>8400000</v>
      </c>
      <c r="J304" s="26">
        <v>8400000</v>
      </c>
      <c r="K304" s="26">
        <v>0</v>
      </c>
      <c r="L304" s="28">
        <v>0</v>
      </c>
      <c r="M304" s="27">
        <f t="shared" si="84"/>
        <v>0</v>
      </c>
      <c r="N304" s="36" t="s">
        <v>68</v>
      </c>
      <c r="O304" s="29" t="s">
        <v>69</v>
      </c>
      <c r="P304" s="29" t="s">
        <v>70</v>
      </c>
      <c r="Q304" s="29"/>
      <c r="S304" s="7" t="s">
        <v>277</v>
      </c>
      <c r="T304" s="7" t="s">
        <v>72</v>
      </c>
      <c r="U304" s="7" t="s">
        <v>72</v>
      </c>
      <c r="V304" s="7" t="s">
        <v>72</v>
      </c>
      <c r="AA304" t="str">
        <f>VLOOKUP(C304,[1]Sheet1!$C:$U,18,0)</f>
        <v/>
      </c>
    </row>
    <row r="305" spans="1:27" x14ac:dyDescent="0.3">
      <c r="A305" s="29" t="s">
        <v>402</v>
      </c>
      <c r="B305" s="29" t="s">
        <v>74</v>
      </c>
      <c r="C305" s="29" t="s">
        <v>405</v>
      </c>
      <c r="D305" s="29" t="s">
        <v>67</v>
      </c>
      <c r="E305" s="29"/>
      <c r="F305" s="48">
        <v>45303</v>
      </c>
      <c r="G305" s="48">
        <v>45382</v>
      </c>
      <c r="H305" s="29">
        <v>2024</v>
      </c>
      <c r="I305" s="30">
        <v>12000000</v>
      </c>
      <c r="J305" s="26">
        <v>12000000</v>
      </c>
      <c r="K305" s="26">
        <v>0</v>
      </c>
      <c r="L305" s="28">
        <v>0</v>
      </c>
      <c r="M305" s="27">
        <f t="shared" si="84"/>
        <v>0</v>
      </c>
      <c r="N305" s="36" t="s">
        <v>68</v>
      </c>
      <c r="O305" s="29" t="s">
        <v>69</v>
      </c>
      <c r="P305" s="29" t="s">
        <v>73</v>
      </c>
      <c r="Q305" s="29"/>
      <c r="S305" s="7" t="s">
        <v>277</v>
      </c>
      <c r="T305" s="7" t="s">
        <v>72</v>
      </c>
      <c r="U305" s="7" t="s">
        <v>72</v>
      </c>
      <c r="V305" s="7" t="s">
        <v>72</v>
      </c>
      <c r="AA305" t="str">
        <f>VLOOKUP(C305,[1]Sheet1!$C:$U,18,0)</f>
        <v/>
      </c>
    </row>
    <row r="306" spans="1:27" x14ac:dyDescent="0.3">
      <c r="A306" s="29" t="s">
        <v>402</v>
      </c>
      <c r="B306" s="29" t="s">
        <v>278</v>
      </c>
      <c r="C306" s="29" t="s">
        <v>406</v>
      </c>
      <c r="D306" s="29" t="s">
        <v>67</v>
      </c>
      <c r="E306" s="29"/>
      <c r="F306" s="48">
        <v>45338</v>
      </c>
      <c r="G306" s="48">
        <v>45443</v>
      </c>
      <c r="H306" s="29">
        <v>2024</v>
      </c>
      <c r="I306" s="30">
        <v>19592000</v>
      </c>
      <c r="J306" s="26">
        <v>9705604</v>
      </c>
      <c r="K306" s="26">
        <v>0</v>
      </c>
      <c r="L306" s="28">
        <v>0</v>
      </c>
      <c r="M306" s="27">
        <f t="shared" si="84"/>
        <v>0</v>
      </c>
      <c r="N306" s="36" t="s">
        <v>68</v>
      </c>
      <c r="O306" s="29" t="s">
        <v>69</v>
      </c>
      <c r="P306" s="29" t="s">
        <v>70</v>
      </c>
      <c r="Q306" s="29"/>
      <c r="S306" s="7" t="s">
        <v>277</v>
      </c>
      <c r="T306" s="7" t="s">
        <v>72</v>
      </c>
      <c r="U306" s="7" t="s">
        <v>72</v>
      </c>
      <c r="V306" s="7" t="s">
        <v>72</v>
      </c>
      <c r="AA306" t="str">
        <f>VLOOKUP(C306,[1]Sheet1!$C:$U,18,0)</f>
        <v/>
      </c>
    </row>
    <row r="307" spans="1:27" x14ac:dyDescent="0.3">
      <c r="A307" s="29" t="s">
        <v>402</v>
      </c>
      <c r="B307" s="29" t="s">
        <v>278</v>
      </c>
      <c r="C307" s="29" t="s">
        <v>406</v>
      </c>
      <c r="D307" s="29" t="s">
        <v>67</v>
      </c>
      <c r="E307" s="29"/>
      <c r="F307" s="48">
        <v>45338</v>
      </c>
      <c r="G307" s="48">
        <v>45443</v>
      </c>
      <c r="H307" s="29">
        <v>2024</v>
      </c>
      <c r="I307" s="30">
        <v>45000000</v>
      </c>
      <c r="J307" s="26">
        <v>45000000</v>
      </c>
      <c r="K307" s="26">
        <v>0</v>
      </c>
      <c r="L307" s="28">
        <v>0</v>
      </c>
      <c r="M307" s="27">
        <f t="shared" si="84"/>
        <v>0</v>
      </c>
      <c r="N307" s="36" t="s">
        <v>68</v>
      </c>
      <c r="O307" s="29" t="s">
        <v>69</v>
      </c>
      <c r="P307" s="29" t="s">
        <v>73</v>
      </c>
      <c r="Q307" s="29"/>
      <c r="S307" s="7" t="s">
        <v>277</v>
      </c>
      <c r="T307" s="7" t="s">
        <v>72</v>
      </c>
      <c r="U307" s="7" t="s">
        <v>72</v>
      </c>
      <c r="V307" s="7" t="s">
        <v>72</v>
      </c>
      <c r="AA307" t="str">
        <f>VLOOKUP(C307,[1]Sheet1!$C:$U,18,0)</f>
        <v/>
      </c>
    </row>
    <row r="308" spans="1:27" x14ac:dyDescent="0.3">
      <c r="A308" s="29" t="s">
        <v>402</v>
      </c>
      <c r="B308" s="29" t="s">
        <v>407</v>
      </c>
      <c r="C308" s="29" t="s">
        <v>408</v>
      </c>
      <c r="D308" s="29" t="s">
        <v>67</v>
      </c>
      <c r="E308" s="29"/>
      <c r="F308" s="48">
        <v>45363</v>
      </c>
      <c r="G308" s="48">
        <v>45443</v>
      </c>
      <c r="H308" s="29">
        <v>2024</v>
      </c>
      <c r="I308" s="30">
        <v>1442666</v>
      </c>
      <c r="J308" s="26">
        <v>1442665</v>
      </c>
      <c r="K308" s="26">
        <v>0</v>
      </c>
      <c r="L308" s="28">
        <v>0</v>
      </c>
      <c r="M308" s="27">
        <f t="shared" si="84"/>
        <v>0</v>
      </c>
      <c r="N308" s="36" t="s">
        <v>68</v>
      </c>
      <c r="O308" s="29" t="s">
        <v>69</v>
      </c>
      <c r="P308" s="29" t="s">
        <v>70</v>
      </c>
      <c r="Q308" s="29"/>
      <c r="S308" s="7" t="s">
        <v>404</v>
      </c>
      <c r="T308" s="7" t="s">
        <v>72</v>
      </c>
      <c r="U308" s="7" t="s">
        <v>72</v>
      </c>
      <c r="V308" s="7" t="s">
        <v>72</v>
      </c>
      <c r="AA308" t="str">
        <f>VLOOKUP(C308,[1]Sheet1!$C:$U,18,0)</f>
        <v/>
      </c>
    </row>
    <row r="309" spans="1:27" x14ac:dyDescent="0.3">
      <c r="A309" s="29" t="s">
        <v>402</v>
      </c>
      <c r="B309" s="29" t="s">
        <v>407</v>
      </c>
      <c r="C309" s="29" t="s">
        <v>408</v>
      </c>
      <c r="D309" s="29" t="s">
        <v>67</v>
      </c>
      <c r="E309" s="29"/>
      <c r="F309" s="48">
        <v>45363</v>
      </c>
      <c r="G309" s="48">
        <v>45443</v>
      </c>
      <c r="H309" s="29">
        <v>2024</v>
      </c>
      <c r="I309" s="30">
        <v>4000000</v>
      </c>
      <c r="J309" s="26">
        <v>4000000</v>
      </c>
      <c r="K309" s="26">
        <v>0</v>
      </c>
      <c r="L309" s="28">
        <v>0</v>
      </c>
      <c r="M309" s="27">
        <f t="shared" si="84"/>
        <v>0</v>
      </c>
      <c r="N309" s="36" t="s">
        <v>68</v>
      </c>
      <c r="O309" s="29" t="s">
        <v>69</v>
      </c>
      <c r="P309" s="29" t="s">
        <v>73</v>
      </c>
      <c r="Q309" s="29"/>
      <c r="S309" s="7" t="s">
        <v>404</v>
      </c>
      <c r="T309" s="7" t="s">
        <v>72</v>
      </c>
      <c r="U309" s="7" t="s">
        <v>72</v>
      </c>
      <c r="V309" s="7" t="s">
        <v>72</v>
      </c>
      <c r="AA309" t="str">
        <f>VLOOKUP(C309,[1]Sheet1!$C:$U,18,0)</f>
        <v/>
      </c>
    </row>
    <row r="310" spans="1:27" x14ac:dyDescent="0.3">
      <c r="A310" s="29" t="s">
        <v>402</v>
      </c>
      <c r="B310" s="29" t="s">
        <v>409</v>
      </c>
      <c r="C310" s="29" t="s">
        <v>410</v>
      </c>
      <c r="D310" s="29" t="s">
        <v>94</v>
      </c>
      <c r="E310" s="29"/>
      <c r="F310" s="48">
        <v>45383</v>
      </c>
      <c r="G310" s="48">
        <v>45473</v>
      </c>
      <c r="H310" s="29">
        <v>2024</v>
      </c>
      <c r="I310" s="30">
        <v>1442666</v>
      </c>
      <c r="J310" s="26">
        <v>0</v>
      </c>
      <c r="K310" s="26">
        <f t="shared" si="79"/>
        <v>1442666</v>
      </c>
      <c r="L310" s="28">
        <v>1442666</v>
      </c>
      <c r="M310" s="28">
        <f>K310-L310</f>
        <v>0</v>
      </c>
      <c r="N310" s="36" t="s">
        <v>68</v>
      </c>
      <c r="O310" s="29" t="s">
        <v>69</v>
      </c>
      <c r="P310" s="29" t="s">
        <v>70</v>
      </c>
      <c r="Q310" s="29"/>
      <c r="S310" s="7" t="s">
        <v>411</v>
      </c>
      <c r="T310" s="7" t="s">
        <v>72</v>
      </c>
      <c r="U310" s="7" t="s">
        <v>72</v>
      </c>
      <c r="V310" s="7"/>
      <c r="AA310" t="str">
        <f>VLOOKUP(C310,[1]Sheet1!$C:$U,18,0)</f>
        <v/>
      </c>
    </row>
    <row r="311" spans="1:27" x14ac:dyDescent="0.3">
      <c r="A311" s="29" t="s">
        <v>402</v>
      </c>
      <c r="B311" s="29" t="s">
        <v>409</v>
      </c>
      <c r="C311" s="29" t="s">
        <v>410</v>
      </c>
      <c r="D311" s="29" t="s">
        <v>94</v>
      </c>
      <c r="E311" s="29"/>
      <c r="F311" s="48">
        <v>45383</v>
      </c>
      <c r="G311" s="48">
        <v>45473</v>
      </c>
      <c r="H311" s="29">
        <v>2024</v>
      </c>
      <c r="I311" s="30">
        <v>4000000</v>
      </c>
      <c r="J311" s="26">
        <v>0</v>
      </c>
      <c r="K311" s="26">
        <f t="shared" si="79"/>
        <v>4000000</v>
      </c>
      <c r="L311" s="28">
        <v>4000000</v>
      </c>
      <c r="M311" s="28">
        <f>K311-L311</f>
        <v>0</v>
      </c>
      <c r="N311" s="36" t="s">
        <v>68</v>
      </c>
      <c r="O311" s="29" t="s">
        <v>69</v>
      </c>
      <c r="P311" s="29" t="s">
        <v>73</v>
      </c>
      <c r="Q311" s="29"/>
      <c r="S311" s="7" t="s">
        <v>411</v>
      </c>
      <c r="T311" s="7" t="s">
        <v>72</v>
      </c>
      <c r="U311" s="7" t="s">
        <v>72</v>
      </c>
      <c r="V311" s="7"/>
      <c r="AA311" t="str">
        <f>VLOOKUP(C311,[1]Sheet1!$C:$U,18,0)</f>
        <v/>
      </c>
    </row>
    <row r="312" spans="1:27" x14ac:dyDescent="0.3">
      <c r="A312" s="29" t="s">
        <v>402</v>
      </c>
      <c r="B312" s="29" t="s">
        <v>102</v>
      </c>
      <c r="C312" s="29" t="s">
        <v>412</v>
      </c>
      <c r="D312" s="29" t="s">
        <v>67</v>
      </c>
      <c r="E312" s="29"/>
      <c r="F312" s="48">
        <v>45385</v>
      </c>
      <c r="G312" s="48">
        <v>45504</v>
      </c>
      <c r="H312" s="29">
        <v>2024</v>
      </c>
      <c r="I312" s="30">
        <v>5000000</v>
      </c>
      <c r="J312" s="26">
        <v>5000000</v>
      </c>
      <c r="K312" s="26">
        <v>0</v>
      </c>
      <c r="L312" s="28">
        <v>0</v>
      </c>
      <c r="M312" s="27">
        <f t="shared" ref="M312:M315" si="85">K312-L312</f>
        <v>0</v>
      </c>
      <c r="N312" s="36" t="s">
        <v>68</v>
      </c>
      <c r="O312" s="29" t="s">
        <v>69</v>
      </c>
      <c r="P312" s="29" t="s">
        <v>70</v>
      </c>
      <c r="Q312" s="29"/>
      <c r="S312" s="7" t="s">
        <v>286</v>
      </c>
      <c r="T312" s="7" t="s">
        <v>72</v>
      </c>
      <c r="U312" s="7" t="s">
        <v>72</v>
      </c>
      <c r="V312" s="7" t="s">
        <v>72</v>
      </c>
      <c r="AA312" t="str">
        <f>VLOOKUP(C312,[1]Sheet1!$C:$U,18,0)</f>
        <v/>
      </c>
    </row>
    <row r="313" spans="1:27" x14ac:dyDescent="0.3">
      <c r="A313" s="29" t="s">
        <v>402</v>
      </c>
      <c r="B313" s="29" t="s">
        <v>102</v>
      </c>
      <c r="C313" s="29" t="s">
        <v>412</v>
      </c>
      <c r="D313" s="29" t="s">
        <v>67</v>
      </c>
      <c r="E313" s="29"/>
      <c r="F313" s="48">
        <v>45385</v>
      </c>
      <c r="G313" s="48">
        <v>45504</v>
      </c>
      <c r="H313" s="29">
        <v>2024</v>
      </c>
      <c r="I313" s="30">
        <v>4000000</v>
      </c>
      <c r="J313" s="26">
        <v>4000000</v>
      </c>
      <c r="K313" s="26">
        <v>0</v>
      </c>
      <c r="L313" s="28">
        <v>0</v>
      </c>
      <c r="M313" s="27">
        <f t="shared" si="85"/>
        <v>0</v>
      </c>
      <c r="N313" s="36" t="s">
        <v>68</v>
      </c>
      <c r="O313" s="29" t="s">
        <v>69</v>
      </c>
      <c r="P313" s="29" t="s">
        <v>73</v>
      </c>
      <c r="Q313" s="29"/>
      <c r="S313" s="7" t="s">
        <v>286</v>
      </c>
      <c r="T313" s="7" t="s">
        <v>72</v>
      </c>
      <c r="U313" s="7" t="s">
        <v>72</v>
      </c>
      <c r="V313" s="7" t="s">
        <v>72</v>
      </c>
      <c r="AA313" t="str">
        <f>VLOOKUP(C313,[1]Sheet1!$C:$U,18,0)</f>
        <v/>
      </c>
    </row>
    <row r="314" spans="1:27" x14ac:dyDescent="0.3">
      <c r="A314" s="29" t="s">
        <v>402</v>
      </c>
      <c r="B314" s="29" t="s">
        <v>413</v>
      </c>
      <c r="C314" s="29" t="s">
        <v>414</v>
      </c>
      <c r="D314" s="29" t="s">
        <v>67</v>
      </c>
      <c r="E314" s="29"/>
      <c r="F314" s="48">
        <v>45413</v>
      </c>
      <c r="G314" s="48">
        <v>45504</v>
      </c>
      <c r="H314" s="29">
        <v>2024</v>
      </c>
      <c r="I314" s="30">
        <v>0</v>
      </c>
      <c r="J314" s="26">
        <v>0</v>
      </c>
      <c r="K314" s="26">
        <v>0</v>
      </c>
      <c r="L314" s="28">
        <v>0</v>
      </c>
      <c r="M314" s="27">
        <f t="shared" si="85"/>
        <v>0</v>
      </c>
      <c r="N314" s="36" t="s">
        <v>68</v>
      </c>
      <c r="O314" s="29" t="s">
        <v>69</v>
      </c>
      <c r="P314" s="29" t="s">
        <v>70</v>
      </c>
      <c r="Q314" s="29"/>
      <c r="S314" s="7" t="s">
        <v>415</v>
      </c>
      <c r="T314" s="7" t="s">
        <v>72</v>
      </c>
      <c r="U314" s="7" t="s">
        <v>72</v>
      </c>
      <c r="V314" s="7" t="s">
        <v>72</v>
      </c>
      <c r="AA314" t="str">
        <f>VLOOKUP(C314,[1]Sheet1!$C:$U,18,0)</f>
        <v/>
      </c>
    </row>
    <row r="315" spans="1:27" x14ac:dyDescent="0.3">
      <c r="A315" s="29" t="s">
        <v>402</v>
      </c>
      <c r="B315" s="29" t="s">
        <v>413</v>
      </c>
      <c r="C315" s="29" t="s">
        <v>414</v>
      </c>
      <c r="D315" s="29" t="s">
        <v>67</v>
      </c>
      <c r="E315" s="29"/>
      <c r="F315" s="48">
        <v>45413</v>
      </c>
      <c r="G315" s="48">
        <v>45504</v>
      </c>
      <c r="H315" s="29">
        <v>2024</v>
      </c>
      <c r="I315" s="30">
        <v>0</v>
      </c>
      <c r="J315" s="26">
        <v>0</v>
      </c>
      <c r="K315" s="26">
        <v>0</v>
      </c>
      <c r="L315" s="28">
        <v>0</v>
      </c>
      <c r="M315" s="27">
        <f t="shared" si="85"/>
        <v>0</v>
      </c>
      <c r="N315" s="36" t="s">
        <v>68</v>
      </c>
      <c r="O315" s="29" t="s">
        <v>69</v>
      </c>
      <c r="P315" s="29" t="s">
        <v>73</v>
      </c>
      <c r="Q315" s="29"/>
      <c r="S315" s="7" t="s">
        <v>415</v>
      </c>
      <c r="T315" s="7" t="s">
        <v>72</v>
      </c>
      <c r="U315" s="7" t="s">
        <v>72</v>
      </c>
      <c r="V315" s="7" t="s">
        <v>72</v>
      </c>
      <c r="AA315" t="str">
        <f>VLOOKUP(C315,[1]Sheet1!$C:$U,18,0)</f>
        <v/>
      </c>
    </row>
    <row r="316" spans="1:27" x14ac:dyDescent="0.3">
      <c r="A316" s="29" t="s">
        <v>402</v>
      </c>
      <c r="B316" s="29" t="s">
        <v>416</v>
      </c>
      <c r="C316" s="29" t="s">
        <v>417</v>
      </c>
      <c r="D316" s="29" t="s">
        <v>94</v>
      </c>
      <c r="E316" s="29"/>
      <c r="F316" s="48">
        <v>45485</v>
      </c>
      <c r="G316" s="48">
        <v>45565</v>
      </c>
      <c r="H316" s="29">
        <v>2024</v>
      </c>
      <c r="I316" s="30">
        <v>1183104</v>
      </c>
      <c r="J316" s="26">
        <v>0</v>
      </c>
      <c r="K316" s="26">
        <f t="shared" si="79"/>
        <v>1183104</v>
      </c>
      <c r="L316" s="28">
        <v>1183104</v>
      </c>
      <c r="M316" s="27">
        <f t="shared" ref="M316:M329" si="86">K316-L316</f>
        <v>0</v>
      </c>
      <c r="N316" s="36" t="s">
        <v>68</v>
      </c>
      <c r="O316" s="29" t="s">
        <v>69</v>
      </c>
      <c r="P316" s="29" t="s">
        <v>70</v>
      </c>
      <c r="Q316" s="29"/>
      <c r="S316" s="7" t="s">
        <v>418</v>
      </c>
      <c r="T316" s="7" t="s">
        <v>72</v>
      </c>
      <c r="U316" s="7" t="s">
        <v>72</v>
      </c>
      <c r="V316" s="7" t="s">
        <v>72</v>
      </c>
      <c r="AA316" t="str">
        <f>VLOOKUP(C316,[1]Sheet1!$C:$U,18,0)</f>
        <v/>
      </c>
    </row>
    <row r="317" spans="1:27" s="7" customFormat="1" x14ac:dyDescent="0.3">
      <c r="A317" s="67" t="s">
        <v>402</v>
      </c>
      <c r="B317" s="29" t="s">
        <v>416</v>
      </c>
      <c r="C317" s="67" t="s">
        <v>419</v>
      </c>
      <c r="D317" s="29" t="s">
        <v>94</v>
      </c>
      <c r="E317" s="29"/>
      <c r="F317" s="68">
        <v>45485</v>
      </c>
      <c r="G317" s="68">
        <v>45565</v>
      </c>
      <c r="H317" s="67">
        <v>2024</v>
      </c>
      <c r="I317" s="30">
        <v>316896</v>
      </c>
      <c r="J317" s="26">
        <v>0</v>
      </c>
      <c r="K317" s="26">
        <f t="shared" ref="K317" si="87">I317-J317</f>
        <v>316896</v>
      </c>
      <c r="L317" s="69">
        <v>316896</v>
      </c>
      <c r="M317" s="27">
        <f t="shared" si="86"/>
        <v>0</v>
      </c>
      <c r="N317" s="36" t="s">
        <v>68</v>
      </c>
      <c r="O317" s="67" t="s">
        <v>69</v>
      </c>
      <c r="P317" s="67" t="s">
        <v>70</v>
      </c>
      <c r="Q317" s="29"/>
      <c r="R317" s="7" t="s">
        <v>267</v>
      </c>
      <c r="S317" s="7" t="s">
        <v>420</v>
      </c>
    </row>
    <row r="318" spans="1:27" x14ac:dyDescent="0.3">
      <c r="A318" s="29" t="s">
        <v>402</v>
      </c>
      <c r="B318" s="29" t="s">
        <v>416</v>
      </c>
      <c r="C318" s="29" t="s">
        <v>417</v>
      </c>
      <c r="D318" s="29" t="s">
        <v>94</v>
      </c>
      <c r="E318" s="29"/>
      <c r="F318" s="48">
        <v>45485</v>
      </c>
      <c r="G318" s="48">
        <v>45565</v>
      </c>
      <c r="H318" s="29">
        <v>2024</v>
      </c>
      <c r="I318" s="30">
        <v>4000000</v>
      </c>
      <c r="J318" s="26">
        <v>0</v>
      </c>
      <c r="K318" s="26">
        <f t="shared" si="79"/>
        <v>4000000</v>
      </c>
      <c r="L318" s="28">
        <v>4000000</v>
      </c>
      <c r="M318" s="27">
        <f t="shared" si="86"/>
        <v>0</v>
      </c>
      <c r="N318" s="36" t="s">
        <v>68</v>
      </c>
      <c r="O318" s="29" t="s">
        <v>69</v>
      </c>
      <c r="P318" s="29" t="s">
        <v>73</v>
      </c>
      <c r="Q318" s="29"/>
      <c r="S318" s="7" t="s">
        <v>418</v>
      </c>
      <c r="T318" s="7" t="s">
        <v>72</v>
      </c>
      <c r="U318" s="7" t="s">
        <v>72</v>
      </c>
      <c r="V318" s="7" t="s">
        <v>72</v>
      </c>
      <c r="AA318" t="str">
        <f>VLOOKUP(C318,[1]Sheet1!$C:$U,18,0)</f>
        <v/>
      </c>
    </row>
    <row r="319" spans="1:27" ht="15.6" customHeight="1" x14ac:dyDescent="0.3">
      <c r="A319" s="29" t="s">
        <v>402</v>
      </c>
      <c r="B319" s="29" t="s">
        <v>421</v>
      </c>
      <c r="C319" s="29" t="s">
        <v>422</v>
      </c>
      <c r="D319" s="29" t="s">
        <v>94</v>
      </c>
      <c r="E319" s="29"/>
      <c r="F319" s="48">
        <v>45513</v>
      </c>
      <c r="G319" s="48">
        <v>45626</v>
      </c>
      <c r="H319" s="29">
        <v>2024</v>
      </c>
      <c r="I319" s="30">
        <v>1867022</v>
      </c>
      <c r="J319" s="26">
        <v>0</v>
      </c>
      <c r="K319" s="26">
        <f t="shared" si="79"/>
        <v>1867022</v>
      </c>
      <c r="L319" s="28">
        <v>1867022</v>
      </c>
      <c r="M319" s="27">
        <f t="shared" si="86"/>
        <v>0</v>
      </c>
      <c r="N319" s="36" t="s">
        <v>68</v>
      </c>
      <c r="O319" s="29" t="s">
        <v>69</v>
      </c>
      <c r="P319" s="29" t="s">
        <v>70</v>
      </c>
      <c r="Q319" s="29"/>
      <c r="S319" s="7" t="s">
        <v>423</v>
      </c>
      <c r="T319" s="7" t="s">
        <v>72</v>
      </c>
      <c r="U319" s="7" t="s">
        <v>72</v>
      </c>
      <c r="V319" s="7" t="s">
        <v>72</v>
      </c>
      <c r="AA319" t="str">
        <f>VLOOKUP(C319,[1]Sheet1!$C:$U,18,0)</f>
        <v/>
      </c>
    </row>
    <row r="320" spans="1:27" x14ac:dyDescent="0.3">
      <c r="A320" s="29" t="s">
        <v>402</v>
      </c>
      <c r="B320" s="29" t="s">
        <v>421</v>
      </c>
      <c r="C320" s="29" t="s">
        <v>424</v>
      </c>
      <c r="D320" s="29" t="s">
        <v>94</v>
      </c>
      <c r="E320" s="29"/>
      <c r="F320" s="48">
        <v>45513</v>
      </c>
      <c r="G320" s="48">
        <v>45626</v>
      </c>
      <c r="H320" s="29">
        <v>2024</v>
      </c>
      <c r="I320" s="30">
        <v>13882978</v>
      </c>
      <c r="J320" s="26">
        <v>0</v>
      </c>
      <c r="K320" s="26">
        <f t="shared" si="79"/>
        <v>13882978</v>
      </c>
      <c r="L320" s="28">
        <v>13882978</v>
      </c>
      <c r="M320" s="27">
        <f t="shared" si="86"/>
        <v>0</v>
      </c>
      <c r="N320" s="36" t="s">
        <v>68</v>
      </c>
      <c r="O320" s="29" t="s">
        <v>69</v>
      </c>
      <c r="P320" s="29" t="s">
        <v>70</v>
      </c>
      <c r="Q320" s="29"/>
      <c r="R320" t="s">
        <v>267</v>
      </c>
      <c r="S320" s="7" t="s">
        <v>420</v>
      </c>
      <c r="T320" s="7"/>
      <c r="U320" s="7"/>
      <c r="V320" s="7"/>
    </row>
    <row r="321" spans="1:27" x14ac:dyDescent="0.3">
      <c r="A321" s="29" t="s">
        <v>402</v>
      </c>
      <c r="B321" s="29" t="s">
        <v>421</v>
      </c>
      <c r="C321" s="29" t="s">
        <v>422</v>
      </c>
      <c r="D321" s="29" t="s">
        <v>94</v>
      </c>
      <c r="E321" s="29"/>
      <c r="F321" s="48">
        <v>45513</v>
      </c>
      <c r="G321" s="48">
        <v>45626</v>
      </c>
      <c r="H321" s="29">
        <v>2024</v>
      </c>
      <c r="I321" s="30">
        <v>4000000</v>
      </c>
      <c r="J321" s="26">
        <v>0</v>
      </c>
      <c r="K321" s="26">
        <f t="shared" si="79"/>
        <v>4000000</v>
      </c>
      <c r="L321" s="28">
        <v>4000000</v>
      </c>
      <c r="M321" s="27">
        <f t="shared" si="86"/>
        <v>0</v>
      </c>
      <c r="N321" s="36" t="s">
        <v>68</v>
      </c>
      <c r="O321" s="29" t="s">
        <v>69</v>
      </c>
      <c r="P321" s="29" t="s">
        <v>73</v>
      </c>
      <c r="Q321" s="29"/>
      <c r="S321" s="7" t="s">
        <v>423</v>
      </c>
      <c r="T321" s="7" t="s">
        <v>72</v>
      </c>
      <c r="U321" s="7" t="s">
        <v>72</v>
      </c>
      <c r="V321" s="7" t="s">
        <v>72</v>
      </c>
      <c r="AA321" t="str">
        <f>VLOOKUP(C321,[1]Sheet1!$C:$U,18,0)</f>
        <v/>
      </c>
    </row>
    <row r="322" spans="1:27" ht="15.6" customHeight="1" x14ac:dyDescent="0.3">
      <c r="A322" s="29" t="s">
        <v>402</v>
      </c>
      <c r="B322" s="29" t="s">
        <v>421</v>
      </c>
      <c r="C322" s="29" t="s">
        <v>424</v>
      </c>
      <c r="D322" s="29" t="s">
        <v>94</v>
      </c>
      <c r="E322" s="29"/>
      <c r="F322" s="48">
        <v>45513</v>
      </c>
      <c r="G322" s="48">
        <v>45626</v>
      </c>
      <c r="H322" s="29">
        <v>2024</v>
      </c>
      <c r="I322" s="30">
        <v>8800126</v>
      </c>
      <c r="J322" s="26">
        <v>0</v>
      </c>
      <c r="K322" s="26">
        <f t="shared" si="79"/>
        <v>8800126</v>
      </c>
      <c r="L322" s="28">
        <v>8800126</v>
      </c>
      <c r="M322" s="27">
        <f t="shared" si="86"/>
        <v>0</v>
      </c>
      <c r="N322" s="36" t="s">
        <v>68</v>
      </c>
      <c r="O322" s="29" t="s">
        <v>69</v>
      </c>
      <c r="P322" s="29" t="s">
        <v>73</v>
      </c>
      <c r="Q322" s="29"/>
      <c r="R322" t="s">
        <v>267</v>
      </c>
      <c r="S322" s="7" t="s">
        <v>420</v>
      </c>
      <c r="T322" s="7"/>
      <c r="U322" s="7"/>
      <c r="V322" s="7"/>
    </row>
    <row r="323" spans="1:27" ht="15.6" customHeight="1" x14ac:dyDescent="0.3">
      <c r="A323" s="29" t="s">
        <v>402</v>
      </c>
      <c r="B323" s="29" t="s">
        <v>421</v>
      </c>
      <c r="C323" s="29" t="s">
        <v>422</v>
      </c>
      <c r="D323" s="29" t="s">
        <v>94</v>
      </c>
      <c r="E323" s="29"/>
      <c r="F323" s="48">
        <v>45513</v>
      </c>
      <c r="G323" s="48">
        <v>45626</v>
      </c>
      <c r="H323" s="29">
        <v>2024</v>
      </c>
      <c r="I323" s="30">
        <v>4949874</v>
      </c>
      <c r="J323" s="26">
        <v>0</v>
      </c>
      <c r="K323" s="26">
        <f t="shared" ref="K323" si="88">I323-J323</f>
        <v>4949874</v>
      </c>
      <c r="L323" s="28">
        <v>0</v>
      </c>
      <c r="M323" s="27">
        <f t="shared" si="86"/>
        <v>4949874</v>
      </c>
      <c r="N323" s="36" t="s">
        <v>68</v>
      </c>
      <c r="O323" s="29" t="s">
        <v>69</v>
      </c>
      <c r="P323" s="29" t="s">
        <v>73</v>
      </c>
      <c r="Q323" s="29"/>
      <c r="S323" s="7"/>
      <c r="T323" s="7"/>
      <c r="U323" s="7"/>
      <c r="V323" s="7"/>
    </row>
    <row r="324" spans="1:27" x14ac:dyDescent="0.3">
      <c r="A324" s="29" t="s">
        <v>402</v>
      </c>
      <c r="B324" s="29" t="s">
        <v>167</v>
      </c>
      <c r="C324" s="29" t="s">
        <v>425</v>
      </c>
      <c r="D324" s="29" t="s">
        <v>94</v>
      </c>
      <c r="E324" s="29"/>
      <c r="F324" s="48">
        <v>45566</v>
      </c>
      <c r="G324" s="48">
        <v>45657</v>
      </c>
      <c r="H324" s="29">
        <v>2024</v>
      </c>
      <c r="I324" s="30">
        <v>8000000</v>
      </c>
      <c r="J324" s="26">
        <v>0</v>
      </c>
      <c r="K324" s="26">
        <f t="shared" si="79"/>
        <v>8000000</v>
      </c>
      <c r="L324" s="28">
        <v>0</v>
      </c>
      <c r="M324" s="27">
        <f t="shared" si="86"/>
        <v>8000000</v>
      </c>
      <c r="N324" s="36" t="s">
        <v>81</v>
      </c>
      <c r="O324" s="29" t="s">
        <v>82</v>
      </c>
      <c r="P324" s="29" t="s">
        <v>73</v>
      </c>
      <c r="Q324" s="29"/>
      <c r="S324" s="7"/>
      <c r="T324" s="7"/>
      <c r="U324" s="7"/>
      <c r="V324" s="7"/>
      <c r="AA324" t="str">
        <f>VLOOKUP(C324,[1]Sheet1!$C:$U,18,0)</f>
        <v/>
      </c>
    </row>
    <row r="325" spans="1:27" x14ac:dyDescent="0.3">
      <c r="A325" s="29" t="s">
        <v>402</v>
      </c>
      <c r="B325" s="29" t="s">
        <v>167</v>
      </c>
      <c r="C325" s="29" t="s">
        <v>425</v>
      </c>
      <c r="D325" s="29" t="s">
        <v>94</v>
      </c>
      <c r="E325" s="29"/>
      <c r="F325" s="48">
        <v>45566</v>
      </c>
      <c r="G325" s="48">
        <v>45657</v>
      </c>
      <c r="H325" s="29">
        <v>2024</v>
      </c>
      <c r="I325" s="30">
        <v>8000000</v>
      </c>
      <c r="J325" s="26">
        <v>0</v>
      </c>
      <c r="K325" s="26">
        <f t="shared" si="79"/>
        <v>8000000</v>
      </c>
      <c r="L325" s="28">
        <v>0</v>
      </c>
      <c r="M325" s="27">
        <f t="shared" si="86"/>
        <v>8000000</v>
      </c>
      <c r="N325" s="36" t="s">
        <v>81</v>
      </c>
      <c r="O325" s="29" t="s">
        <v>82</v>
      </c>
      <c r="P325" s="29" t="s">
        <v>77</v>
      </c>
      <c r="Q325" s="29"/>
      <c r="S325" s="7"/>
      <c r="T325" s="7"/>
      <c r="U325" s="7"/>
      <c r="V325" s="7"/>
      <c r="AA325" t="str">
        <f>VLOOKUP(C325,[1]Sheet1!$C:$U,18,0)</f>
        <v/>
      </c>
    </row>
    <row r="326" spans="1:27" x14ac:dyDescent="0.3">
      <c r="A326" s="29" t="s">
        <v>402</v>
      </c>
      <c r="B326" s="29" t="s">
        <v>173</v>
      </c>
      <c r="C326" s="29" t="s">
        <v>426</v>
      </c>
      <c r="D326" s="29" t="s">
        <v>94</v>
      </c>
      <c r="E326" s="29"/>
      <c r="F326" s="48">
        <v>45566</v>
      </c>
      <c r="G326" s="48">
        <v>45657</v>
      </c>
      <c r="H326" s="29">
        <v>2024</v>
      </c>
      <c r="I326" s="30">
        <v>11000000</v>
      </c>
      <c r="J326" s="26">
        <v>0</v>
      </c>
      <c r="K326" s="26">
        <f t="shared" si="79"/>
        <v>11000000</v>
      </c>
      <c r="L326" s="28">
        <v>0</v>
      </c>
      <c r="M326" s="27">
        <f t="shared" si="86"/>
        <v>11000000</v>
      </c>
      <c r="N326" s="36" t="s">
        <v>68</v>
      </c>
      <c r="O326" s="29" t="s">
        <v>69</v>
      </c>
      <c r="P326" s="29" t="s">
        <v>73</v>
      </c>
      <c r="Q326" s="29"/>
      <c r="S326" s="7"/>
      <c r="T326" s="7"/>
      <c r="U326" s="7"/>
      <c r="V326" s="7"/>
      <c r="AA326" t="str">
        <f>VLOOKUP(C326,[1]Sheet1!$C:$U,18,0)</f>
        <v/>
      </c>
    </row>
    <row r="327" spans="1:27" x14ac:dyDescent="0.3">
      <c r="A327" s="29" t="s">
        <v>402</v>
      </c>
      <c r="B327" s="29" t="s">
        <v>173</v>
      </c>
      <c r="C327" s="29" t="s">
        <v>426</v>
      </c>
      <c r="D327" s="29" t="s">
        <v>94</v>
      </c>
      <c r="E327" s="29"/>
      <c r="F327" s="48">
        <v>45566</v>
      </c>
      <c r="G327" s="48">
        <v>45657</v>
      </c>
      <c r="H327" s="29">
        <v>2024</v>
      </c>
      <c r="I327" s="30">
        <v>11000000</v>
      </c>
      <c r="J327" s="26">
        <v>0</v>
      </c>
      <c r="K327" s="26">
        <f t="shared" si="79"/>
        <v>11000000</v>
      </c>
      <c r="L327" s="28">
        <v>0</v>
      </c>
      <c r="M327" s="27">
        <f t="shared" si="86"/>
        <v>11000000</v>
      </c>
      <c r="N327" s="36" t="s">
        <v>68</v>
      </c>
      <c r="O327" s="29" t="s">
        <v>69</v>
      </c>
      <c r="P327" s="29" t="s">
        <v>77</v>
      </c>
      <c r="Q327" s="29"/>
      <c r="S327" s="7"/>
      <c r="T327" s="7"/>
      <c r="U327" s="7"/>
      <c r="V327" s="7"/>
      <c r="AA327" t="str">
        <f>VLOOKUP(C327,[1]Sheet1!$C:$U,18,0)</f>
        <v/>
      </c>
    </row>
    <row r="328" spans="1:27" x14ac:dyDescent="0.3">
      <c r="A328" s="29" t="s">
        <v>402</v>
      </c>
      <c r="B328" s="29" t="s">
        <v>427</v>
      </c>
      <c r="C328" s="29" t="s">
        <v>428</v>
      </c>
      <c r="D328" s="29" t="s">
        <v>94</v>
      </c>
      <c r="E328" s="29"/>
      <c r="F328" s="48">
        <v>45590</v>
      </c>
      <c r="G328" s="48">
        <v>45657</v>
      </c>
      <c r="H328" s="29">
        <v>2024</v>
      </c>
      <c r="I328" s="30">
        <v>7500000</v>
      </c>
      <c r="J328" s="26">
        <v>0</v>
      </c>
      <c r="K328" s="26">
        <f t="shared" si="79"/>
        <v>7500000</v>
      </c>
      <c r="L328" s="28">
        <v>0</v>
      </c>
      <c r="M328" s="27">
        <f t="shared" si="86"/>
        <v>7500000</v>
      </c>
      <c r="N328" s="36" t="s">
        <v>68</v>
      </c>
      <c r="O328" s="29" t="s">
        <v>69</v>
      </c>
      <c r="P328" s="29" t="s">
        <v>70</v>
      </c>
      <c r="Q328" s="29"/>
      <c r="S328" s="7"/>
      <c r="T328" s="7"/>
      <c r="U328" s="7"/>
      <c r="V328" s="7"/>
      <c r="AA328" t="str">
        <f>VLOOKUP(C328,[1]Sheet1!$C:$U,18,0)</f>
        <v/>
      </c>
    </row>
    <row r="329" spans="1:27" x14ac:dyDescent="0.3">
      <c r="A329" s="29" t="s">
        <v>402</v>
      </c>
      <c r="B329" s="29" t="s">
        <v>427</v>
      </c>
      <c r="C329" s="29" t="s">
        <v>428</v>
      </c>
      <c r="D329" s="29" t="s">
        <v>94</v>
      </c>
      <c r="E329" s="29"/>
      <c r="F329" s="48">
        <v>45590</v>
      </c>
      <c r="G329" s="48">
        <v>45657</v>
      </c>
      <c r="H329" s="29">
        <v>2024</v>
      </c>
      <c r="I329" s="30">
        <v>7500000</v>
      </c>
      <c r="J329" s="26">
        <v>0</v>
      </c>
      <c r="K329" s="26">
        <f t="shared" si="79"/>
        <v>7500000</v>
      </c>
      <c r="L329" s="28">
        <v>0</v>
      </c>
      <c r="M329" s="27">
        <f t="shared" si="86"/>
        <v>7500000</v>
      </c>
      <c r="N329" s="36" t="s">
        <v>68</v>
      </c>
      <c r="O329" s="29" t="s">
        <v>69</v>
      </c>
      <c r="P329" s="29" t="s">
        <v>73</v>
      </c>
      <c r="Q329" s="29"/>
      <c r="S329" s="7"/>
      <c r="T329" s="7"/>
      <c r="U329" s="7"/>
      <c r="V329" s="7"/>
      <c r="AA329" t="str">
        <f>VLOOKUP(C329,[1]Sheet1!$C:$U,18,0)</f>
        <v/>
      </c>
    </row>
    <row r="330" spans="1:27" x14ac:dyDescent="0.3">
      <c r="A330" s="29" t="s">
        <v>429</v>
      </c>
      <c r="B330" s="29" t="s">
        <v>74</v>
      </c>
      <c r="C330" s="29" t="s">
        <v>430</v>
      </c>
      <c r="D330" s="29" t="s">
        <v>67</v>
      </c>
      <c r="E330" s="29"/>
      <c r="F330" s="48">
        <v>45303</v>
      </c>
      <c r="G330" s="48">
        <v>45382</v>
      </c>
      <c r="H330" s="29">
        <v>2024</v>
      </c>
      <c r="I330" s="30">
        <v>2000000</v>
      </c>
      <c r="J330" s="26">
        <v>2000000</v>
      </c>
      <c r="K330" s="26">
        <v>0</v>
      </c>
      <c r="L330" s="28">
        <v>0</v>
      </c>
      <c r="M330" s="27">
        <f>K330-L330</f>
        <v>0</v>
      </c>
      <c r="N330" s="36" t="s">
        <v>68</v>
      </c>
      <c r="O330" s="29" t="s">
        <v>69</v>
      </c>
      <c r="P330" s="29" t="s">
        <v>70</v>
      </c>
      <c r="Q330" s="29"/>
      <c r="S330" s="7" t="s">
        <v>277</v>
      </c>
      <c r="T330" s="7" t="s">
        <v>72</v>
      </c>
      <c r="U330" s="7" t="s">
        <v>72</v>
      </c>
      <c r="V330" s="7" t="s">
        <v>72</v>
      </c>
      <c r="AA330" t="str">
        <f>VLOOKUP(C330,[1]Sheet1!$C:$U,18,0)</f>
        <v/>
      </c>
    </row>
    <row r="331" spans="1:27" x14ac:dyDescent="0.3">
      <c r="A331" s="29" t="s">
        <v>429</v>
      </c>
      <c r="B331" s="29" t="s">
        <v>74</v>
      </c>
      <c r="C331" s="29" t="s">
        <v>430</v>
      </c>
      <c r="D331" s="29" t="s">
        <v>67</v>
      </c>
      <c r="E331" s="29"/>
      <c r="F331" s="48">
        <v>45303</v>
      </c>
      <c r="G331" s="48">
        <v>45382</v>
      </c>
      <c r="H331" s="29">
        <v>2024</v>
      </c>
      <c r="I331" s="30">
        <v>3000000</v>
      </c>
      <c r="J331" s="26">
        <v>3000000</v>
      </c>
      <c r="K331" s="26">
        <v>0</v>
      </c>
      <c r="L331" s="28">
        <v>0</v>
      </c>
      <c r="M331" s="27">
        <f t="shared" ref="M331:M345" si="89">K331-L331</f>
        <v>0</v>
      </c>
      <c r="N331" s="36" t="s">
        <v>68</v>
      </c>
      <c r="O331" s="29" t="s">
        <v>69</v>
      </c>
      <c r="P331" s="29" t="s">
        <v>77</v>
      </c>
      <c r="Q331" s="29"/>
      <c r="S331" s="7" t="s">
        <v>277</v>
      </c>
      <c r="T331" s="7" t="s">
        <v>72</v>
      </c>
      <c r="U331" s="7" t="s">
        <v>72</v>
      </c>
      <c r="V331" s="7" t="s">
        <v>72</v>
      </c>
      <c r="AA331" t="str">
        <f>VLOOKUP(C331,[1]Sheet1!$C:$U,18,0)</f>
        <v/>
      </c>
    </row>
    <row r="332" spans="1:27" x14ac:dyDescent="0.3">
      <c r="A332" s="29" t="s">
        <v>429</v>
      </c>
      <c r="B332" s="29" t="s">
        <v>74</v>
      </c>
      <c r="C332" s="29" t="s">
        <v>430</v>
      </c>
      <c r="D332" s="29" t="s">
        <v>67</v>
      </c>
      <c r="E332" s="29"/>
      <c r="F332" s="48">
        <v>45303</v>
      </c>
      <c r="G332" s="48">
        <v>45382</v>
      </c>
      <c r="H332" s="29">
        <v>2024</v>
      </c>
      <c r="I332" s="30">
        <v>3000000</v>
      </c>
      <c r="J332" s="26">
        <v>3000000</v>
      </c>
      <c r="K332" s="26">
        <v>0</v>
      </c>
      <c r="L332" s="28">
        <v>0</v>
      </c>
      <c r="M332" s="27">
        <f t="shared" si="89"/>
        <v>0</v>
      </c>
      <c r="N332" s="36" t="s">
        <v>68</v>
      </c>
      <c r="O332" s="29" t="s">
        <v>69</v>
      </c>
      <c r="P332" s="29" t="s">
        <v>73</v>
      </c>
      <c r="Q332" s="29"/>
      <c r="S332" s="7" t="s">
        <v>277</v>
      </c>
      <c r="T332" s="7" t="s">
        <v>72</v>
      </c>
      <c r="U332" s="7" t="s">
        <v>72</v>
      </c>
      <c r="V332" s="7" t="s">
        <v>72</v>
      </c>
      <c r="AA332" t="str">
        <f>VLOOKUP(C332,[1]Sheet1!$C:$U,18,0)</f>
        <v/>
      </c>
    </row>
    <row r="333" spans="1:27" x14ac:dyDescent="0.3">
      <c r="A333" s="29" t="s">
        <v>429</v>
      </c>
      <c r="B333" s="29" t="s">
        <v>79</v>
      </c>
      <c r="C333" s="29" t="s">
        <v>431</v>
      </c>
      <c r="D333" s="29" t="s">
        <v>94</v>
      </c>
      <c r="E333" s="29"/>
      <c r="F333" s="48">
        <v>45337</v>
      </c>
      <c r="G333" s="48">
        <v>45443</v>
      </c>
      <c r="H333" s="29">
        <v>2024</v>
      </c>
      <c r="I333" s="30">
        <v>2000000</v>
      </c>
      <c r="J333" s="26">
        <v>0</v>
      </c>
      <c r="K333" s="26">
        <f t="shared" ref="K333:K347" si="90">I333-J333</f>
        <v>2000000</v>
      </c>
      <c r="L333" s="28">
        <v>2000000</v>
      </c>
      <c r="M333" s="27">
        <f t="shared" si="89"/>
        <v>0</v>
      </c>
      <c r="N333" s="36" t="s">
        <v>81</v>
      </c>
      <c r="O333" s="29" t="s">
        <v>82</v>
      </c>
      <c r="P333" s="29" t="s">
        <v>73</v>
      </c>
      <c r="Q333" s="29"/>
      <c r="S333" s="7" t="s">
        <v>137</v>
      </c>
      <c r="T333" s="7"/>
      <c r="U333" s="7"/>
      <c r="V333" s="7"/>
      <c r="AA333" t="str">
        <f>VLOOKUP(C333,[1]Sheet1!$C:$U,18,0)</f>
        <v/>
      </c>
    </row>
    <row r="334" spans="1:27" x14ac:dyDescent="0.3">
      <c r="A334" s="29" t="s">
        <v>429</v>
      </c>
      <c r="B334" s="29" t="s">
        <v>84</v>
      </c>
      <c r="C334" s="29" t="s">
        <v>432</v>
      </c>
      <c r="D334" s="29" t="s">
        <v>67</v>
      </c>
      <c r="E334" s="29"/>
      <c r="F334" s="48">
        <v>45337</v>
      </c>
      <c r="G334" s="48">
        <v>45443</v>
      </c>
      <c r="H334" s="29">
        <v>2024</v>
      </c>
      <c r="I334" s="30">
        <v>3500000</v>
      </c>
      <c r="J334" s="26">
        <v>1247783</v>
      </c>
      <c r="K334" s="26">
        <f t="shared" si="90"/>
        <v>2252217</v>
      </c>
      <c r="L334" s="28">
        <v>0</v>
      </c>
      <c r="M334" s="27">
        <v>0</v>
      </c>
      <c r="N334" s="36" t="s">
        <v>86</v>
      </c>
      <c r="O334" s="29" t="s">
        <v>87</v>
      </c>
      <c r="P334" s="29" t="s">
        <v>73</v>
      </c>
      <c r="Q334" s="29"/>
      <c r="S334" s="7" t="s">
        <v>433</v>
      </c>
      <c r="T334" s="7" t="s">
        <v>72</v>
      </c>
      <c r="U334" s="7" t="s">
        <v>72</v>
      </c>
      <c r="V334" s="7" t="s">
        <v>72</v>
      </c>
      <c r="AA334" t="str">
        <f>VLOOKUP(C334,[1]Sheet1!$C:$U,18,0)</f>
        <v/>
      </c>
    </row>
    <row r="335" spans="1:27" x14ac:dyDescent="0.3">
      <c r="A335" s="29" t="s">
        <v>429</v>
      </c>
      <c r="B335" s="29" t="s">
        <v>102</v>
      </c>
      <c r="C335" s="29" t="s">
        <v>434</v>
      </c>
      <c r="D335" s="29" t="s">
        <v>67</v>
      </c>
      <c r="E335" s="29"/>
      <c r="F335" s="48">
        <v>45385</v>
      </c>
      <c r="G335" s="48">
        <v>45504</v>
      </c>
      <c r="H335" s="29">
        <v>2024</v>
      </c>
      <c r="I335" s="30">
        <v>2000000</v>
      </c>
      <c r="J335" s="26">
        <v>2000000</v>
      </c>
      <c r="K335" s="26">
        <f t="shared" si="90"/>
        <v>0</v>
      </c>
      <c r="L335" s="28">
        <v>0</v>
      </c>
      <c r="M335" s="27">
        <f t="shared" si="89"/>
        <v>0</v>
      </c>
      <c r="N335" s="36" t="s">
        <v>68</v>
      </c>
      <c r="O335" s="29" t="s">
        <v>69</v>
      </c>
      <c r="P335" s="29" t="s">
        <v>70</v>
      </c>
      <c r="Q335" s="29"/>
      <c r="S335" s="7" t="s">
        <v>286</v>
      </c>
      <c r="T335" s="7" t="s">
        <v>72</v>
      </c>
      <c r="U335" s="7" t="s">
        <v>72</v>
      </c>
      <c r="V335" s="7" t="s">
        <v>72</v>
      </c>
      <c r="AA335" t="str">
        <f>VLOOKUP(C335,[1]Sheet1!$C:$U,18,0)</f>
        <v/>
      </c>
    </row>
    <row r="336" spans="1:27" x14ac:dyDescent="0.3">
      <c r="A336" s="29" t="s">
        <v>429</v>
      </c>
      <c r="B336" s="29" t="s">
        <v>102</v>
      </c>
      <c r="C336" s="29" t="s">
        <v>434</v>
      </c>
      <c r="D336" s="29" t="s">
        <v>67</v>
      </c>
      <c r="E336" s="29"/>
      <c r="F336" s="48">
        <v>45385</v>
      </c>
      <c r="G336" s="48">
        <v>45504</v>
      </c>
      <c r="H336" s="29">
        <v>2024</v>
      </c>
      <c r="I336" s="30">
        <v>3000000</v>
      </c>
      <c r="J336" s="26">
        <v>3000000</v>
      </c>
      <c r="K336" s="26">
        <f t="shared" si="90"/>
        <v>0</v>
      </c>
      <c r="L336" s="28">
        <v>0</v>
      </c>
      <c r="M336" s="27">
        <f t="shared" si="89"/>
        <v>0</v>
      </c>
      <c r="N336" s="36" t="s">
        <v>68</v>
      </c>
      <c r="O336" s="29" t="s">
        <v>69</v>
      </c>
      <c r="P336" s="29" t="s">
        <v>73</v>
      </c>
      <c r="Q336" s="29"/>
      <c r="S336" s="7" t="s">
        <v>286</v>
      </c>
      <c r="T336" s="7" t="s">
        <v>72</v>
      </c>
      <c r="U336" s="7" t="s">
        <v>72</v>
      </c>
      <c r="V336" s="7" t="s">
        <v>72</v>
      </c>
      <c r="AA336" t="str">
        <f>VLOOKUP(C336,[1]Sheet1!$C:$U,18,0)</f>
        <v/>
      </c>
    </row>
    <row r="337" spans="1:27" x14ac:dyDescent="0.3">
      <c r="A337" s="29" t="s">
        <v>429</v>
      </c>
      <c r="B337" s="29" t="s">
        <v>117</v>
      </c>
      <c r="C337" s="29" t="s">
        <v>435</v>
      </c>
      <c r="D337" s="29" t="s">
        <v>94</v>
      </c>
      <c r="E337" s="29"/>
      <c r="F337" s="48">
        <v>45427</v>
      </c>
      <c r="G337" s="48">
        <v>45535</v>
      </c>
      <c r="H337" s="29">
        <v>2024</v>
      </c>
      <c r="I337" s="30">
        <v>1000000</v>
      </c>
      <c r="J337" s="26">
        <v>0</v>
      </c>
      <c r="K337" s="26">
        <f t="shared" si="90"/>
        <v>1000000</v>
      </c>
      <c r="L337" s="28">
        <v>1000000</v>
      </c>
      <c r="M337" s="27">
        <f t="shared" si="89"/>
        <v>0</v>
      </c>
      <c r="N337" s="36" t="s">
        <v>81</v>
      </c>
      <c r="O337" s="29" t="s">
        <v>82</v>
      </c>
      <c r="P337" s="29" t="s">
        <v>70</v>
      </c>
      <c r="Q337" s="29"/>
      <c r="S337" s="7" t="s">
        <v>290</v>
      </c>
      <c r="T337" s="7" t="s">
        <v>72</v>
      </c>
      <c r="U337" s="7" t="s">
        <v>72</v>
      </c>
      <c r="V337" s="7"/>
      <c r="AA337" t="str">
        <f>VLOOKUP(C337,[1]Sheet1!$C:$U,18,0)</f>
        <v/>
      </c>
    </row>
    <row r="338" spans="1:27" x14ac:dyDescent="0.3">
      <c r="A338" s="29" t="s">
        <v>429</v>
      </c>
      <c r="B338" s="29" t="s">
        <v>117</v>
      </c>
      <c r="C338" s="29" t="s">
        <v>435</v>
      </c>
      <c r="D338" s="29" t="s">
        <v>94</v>
      </c>
      <c r="E338" s="29"/>
      <c r="F338" s="48">
        <v>45427</v>
      </c>
      <c r="G338" s="48">
        <v>45535</v>
      </c>
      <c r="H338" s="29">
        <v>2024</v>
      </c>
      <c r="I338" s="30">
        <v>2000000</v>
      </c>
      <c r="J338" s="26">
        <v>0</v>
      </c>
      <c r="K338" s="26">
        <f t="shared" si="90"/>
        <v>2000000</v>
      </c>
      <c r="L338" s="28">
        <v>2000000</v>
      </c>
      <c r="M338" s="27">
        <f t="shared" si="89"/>
        <v>0</v>
      </c>
      <c r="N338" s="36" t="s">
        <v>81</v>
      </c>
      <c r="O338" s="29" t="s">
        <v>82</v>
      </c>
      <c r="P338" s="29" t="s">
        <v>73</v>
      </c>
      <c r="Q338" s="29"/>
      <c r="S338" s="7" t="s">
        <v>290</v>
      </c>
      <c r="T338" s="7" t="s">
        <v>72</v>
      </c>
      <c r="U338" s="7" t="s">
        <v>72</v>
      </c>
      <c r="V338" s="7"/>
      <c r="AA338" t="str">
        <f>VLOOKUP(C338,[1]Sheet1!$C:$U,18,0)</f>
        <v/>
      </c>
    </row>
    <row r="339" spans="1:27" x14ac:dyDescent="0.3">
      <c r="A339" s="29" t="s">
        <v>429</v>
      </c>
      <c r="B339" s="29" t="s">
        <v>436</v>
      </c>
      <c r="C339" s="29" t="s">
        <v>437</v>
      </c>
      <c r="D339" s="29" t="s">
        <v>94</v>
      </c>
      <c r="E339" s="29"/>
      <c r="F339" s="48">
        <v>45437</v>
      </c>
      <c r="G339" s="48">
        <v>45504</v>
      </c>
      <c r="H339" s="29">
        <v>2024</v>
      </c>
      <c r="I339" s="30">
        <v>2000000</v>
      </c>
      <c r="J339" s="26">
        <v>0</v>
      </c>
      <c r="K339" s="26">
        <f t="shared" si="90"/>
        <v>2000000</v>
      </c>
      <c r="L339" s="28">
        <v>0</v>
      </c>
      <c r="M339" s="27">
        <f t="shared" si="89"/>
        <v>2000000</v>
      </c>
      <c r="N339" s="36" t="s">
        <v>68</v>
      </c>
      <c r="O339" s="29" t="s">
        <v>69</v>
      </c>
      <c r="P339" s="29" t="s">
        <v>73</v>
      </c>
      <c r="Q339" s="29"/>
      <c r="R339" t="s">
        <v>274</v>
      </c>
      <c r="S339" s="7"/>
      <c r="T339" s="7"/>
      <c r="U339" s="7"/>
      <c r="V339" s="7"/>
      <c r="AA339" t="str">
        <f>VLOOKUP(C339,[1]Sheet1!$C:$U,18,0)</f>
        <v/>
      </c>
    </row>
    <row r="340" spans="1:27" x14ac:dyDescent="0.3">
      <c r="A340" s="29" t="s">
        <v>429</v>
      </c>
      <c r="B340" s="29" t="s">
        <v>120</v>
      </c>
      <c r="C340" s="29" t="s">
        <v>438</v>
      </c>
      <c r="D340" s="29" t="s">
        <v>94</v>
      </c>
      <c r="E340" s="29"/>
      <c r="F340" s="48">
        <v>45437</v>
      </c>
      <c r="G340" s="48">
        <v>45535</v>
      </c>
      <c r="H340" s="29">
        <v>2024</v>
      </c>
      <c r="I340" s="30">
        <v>2000000</v>
      </c>
      <c r="J340" s="26">
        <v>0</v>
      </c>
      <c r="K340" s="26">
        <f t="shared" si="90"/>
        <v>2000000</v>
      </c>
      <c r="L340" s="28">
        <v>2000000</v>
      </c>
      <c r="M340" s="27">
        <f t="shared" si="89"/>
        <v>0</v>
      </c>
      <c r="N340" s="36" t="s">
        <v>95</v>
      </c>
      <c r="O340" s="29" t="s">
        <v>96</v>
      </c>
      <c r="P340" s="29" t="s">
        <v>73</v>
      </c>
      <c r="Q340" s="29"/>
      <c r="S340" s="7" t="s">
        <v>290</v>
      </c>
      <c r="T340" s="7" t="s">
        <v>72</v>
      </c>
      <c r="U340" s="7" t="s">
        <v>72</v>
      </c>
      <c r="V340" s="7"/>
      <c r="AA340" t="str">
        <f>VLOOKUP(C340,[1]Sheet1!$C:$U,18,0)</f>
        <v/>
      </c>
    </row>
    <row r="341" spans="1:27" x14ac:dyDescent="0.3">
      <c r="A341" s="29" t="s">
        <v>429</v>
      </c>
      <c r="B341" s="29" t="s">
        <v>123</v>
      </c>
      <c r="C341" s="29" t="s">
        <v>439</v>
      </c>
      <c r="D341" s="29" t="s">
        <v>94</v>
      </c>
      <c r="E341" s="29"/>
      <c r="F341" s="48">
        <v>45442</v>
      </c>
      <c r="G341" s="48">
        <v>45473</v>
      </c>
      <c r="H341" s="29">
        <v>2024</v>
      </c>
      <c r="I341" s="30">
        <v>1000000</v>
      </c>
      <c r="J341" s="26">
        <v>0</v>
      </c>
      <c r="K341" s="26">
        <f t="shared" si="90"/>
        <v>1000000</v>
      </c>
      <c r="L341" s="28">
        <v>1000000</v>
      </c>
      <c r="M341" s="27">
        <f t="shared" si="89"/>
        <v>0</v>
      </c>
      <c r="N341" s="36" t="s">
        <v>86</v>
      </c>
      <c r="O341" s="29" t="s">
        <v>87</v>
      </c>
      <c r="P341" s="29" t="s">
        <v>70</v>
      </c>
      <c r="Q341" s="29"/>
      <c r="S341" s="7" t="s">
        <v>290</v>
      </c>
      <c r="T341" s="7" t="s">
        <v>72</v>
      </c>
      <c r="U341" s="7" t="s">
        <v>72</v>
      </c>
      <c r="V341" s="7" t="s">
        <v>72</v>
      </c>
      <c r="AA341" t="str">
        <f>VLOOKUP(C341,[1]Sheet1!$C:$U,18,0)</f>
        <v/>
      </c>
    </row>
    <row r="342" spans="1:27" x14ac:dyDescent="0.3">
      <c r="A342" s="29" t="s">
        <v>429</v>
      </c>
      <c r="B342" s="29" t="s">
        <v>123</v>
      </c>
      <c r="C342" s="29" t="s">
        <v>439</v>
      </c>
      <c r="D342" s="29" t="s">
        <v>94</v>
      </c>
      <c r="E342" s="29"/>
      <c r="F342" s="48">
        <v>45442</v>
      </c>
      <c r="G342" s="48">
        <v>45473</v>
      </c>
      <c r="H342" s="29">
        <v>2024</v>
      </c>
      <c r="I342" s="30">
        <v>1000000</v>
      </c>
      <c r="J342" s="26">
        <v>0</v>
      </c>
      <c r="K342" s="26">
        <f t="shared" si="90"/>
        <v>1000000</v>
      </c>
      <c r="L342" s="28">
        <v>1000000</v>
      </c>
      <c r="M342" s="27">
        <f t="shared" si="89"/>
        <v>0</v>
      </c>
      <c r="N342" s="36" t="s">
        <v>86</v>
      </c>
      <c r="O342" s="29" t="s">
        <v>87</v>
      </c>
      <c r="P342" s="29" t="s">
        <v>73</v>
      </c>
      <c r="Q342" s="29"/>
      <c r="S342" s="7" t="s">
        <v>290</v>
      </c>
      <c r="T342" s="7" t="s">
        <v>72</v>
      </c>
      <c r="U342" s="7" t="s">
        <v>72</v>
      </c>
      <c r="V342" s="7" t="s">
        <v>72</v>
      </c>
      <c r="AA342" t="str">
        <f>VLOOKUP(C342,[1]Sheet1!$C:$U,18,0)</f>
        <v/>
      </c>
    </row>
    <row r="343" spans="1:27" x14ac:dyDescent="0.3">
      <c r="A343" s="29" t="s">
        <v>429</v>
      </c>
      <c r="B343" s="29" t="s">
        <v>125</v>
      </c>
      <c r="C343" s="29" t="s">
        <v>440</v>
      </c>
      <c r="D343" s="29" t="s">
        <v>94</v>
      </c>
      <c r="E343" s="29"/>
      <c r="F343" s="48">
        <v>45444</v>
      </c>
      <c r="G343" s="48">
        <v>45535</v>
      </c>
      <c r="H343" s="29">
        <v>2024</v>
      </c>
      <c r="I343" s="30">
        <v>1000000</v>
      </c>
      <c r="J343" s="26">
        <v>0</v>
      </c>
      <c r="K343" s="26">
        <f t="shared" si="90"/>
        <v>1000000</v>
      </c>
      <c r="L343" s="28">
        <v>0</v>
      </c>
      <c r="M343" s="27">
        <f t="shared" si="89"/>
        <v>1000000</v>
      </c>
      <c r="N343" s="36" t="s">
        <v>86</v>
      </c>
      <c r="O343" s="29" t="s">
        <v>87</v>
      </c>
      <c r="P343" s="29" t="s">
        <v>70</v>
      </c>
      <c r="Q343" s="29"/>
      <c r="R343" t="s">
        <v>274</v>
      </c>
      <c r="S343" s="7"/>
      <c r="T343" s="7"/>
      <c r="U343" s="7"/>
      <c r="V343" s="7"/>
      <c r="AA343" t="str">
        <f>VLOOKUP(C343,[1]Sheet1!$C:$U,18,0)</f>
        <v/>
      </c>
    </row>
    <row r="344" spans="1:27" x14ac:dyDescent="0.3">
      <c r="A344" s="29" t="s">
        <v>429</v>
      </c>
      <c r="B344" s="29" t="s">
        <v>125</v>
      </c>
      <c r="C344" s="29" t="s">
        <v>440</v>
      </c>
      <c r="D344" s="29" t="s">
        <v>94</v>
      </c>
      <c r="E344" s="29"/>
      <c r="F344" s="48">
        <v>45444</v>
      </c>
      <c r="G344" s="48">
        <v>45535</v>
      </c>
      <c r="H344" s="29">
        <v>2024</v>
      </c>
      <c r="I344" s="30">
        <v>1000000</v>
      </c>
      <c r="J344" s="26">
        <v>0</v>
      </c>
      <c r="K344" s="26">
        <f t="shared" si="90"/>
        <v>1000000</v>
      </c>
      <c r="L344" s="28">
        <v>0</v>
      </c>
      <c r="M344" s="27">
        <f t="shared" si="89"/>
        <v>1000000</v>
      </c>
      <c r="N344" s="36" t="s">
        <v>86</v>
      </c>
      <c r="O344" s="29" t="s">
        <v>87</v>
      </c>
      <c r="P344" s="29" t="s">
        <v>73</v>
      </c>
      <c r="Q344" s="29"/>
      <c r="R344" t="s">
        <v>274</v>
      </c>
      <c r="S344" s="7"/>
      <c r="T344" s="7"/>
      <c r="U344" s="7"/>
      <c r="V344" s="7"/>
      <c r="AA344" t="str">
        <f>VLOOKUP(C344,[1]Sheet1!$C:$U,18,0)</f>
        <v/>
      </c>
    </row>
    <row r="345" spans="1:27" x14ac:dyDescent="0.3">
      <c r="A345" s="29" t="s">
        <v>429</v>
      </c>
      <c r="B345" s="29" t="s">
        <v>291</v>
      </c>
      <c r="C345" s="29" t="s">
        <v>441</v>
      </c>
      <c r="D345" s="29" t="s">
        <v>94</v>
      </c>
      <c r="E345" s="29"/>
      <c r="F345" s="48">
        <v>45444</v>
      </c>
      <c r="G345" s="48">
        <v>45535</v>
      </c>
      <c r="H345" s="29">
        <v>2024</v>
      </c>
      <c r="I345" s="30">
        <v>2000000</v>
      </c>
      <c r="J345" s="26">
        <v>0</v>
      </c>
      <c r="K345" s="26">
        <f t="shared" si="90"/>
        <v>2000000</v>
      </c>
      <c r="L345" s="28">
        <v>2000000</v>
      </c>
      <c r="M345" s="27">
        <f t="shared" si="89"/>
        <v>0</v>
      </c>
      <c r="N345" s="36" t="s">
        <v>68</v>
      </c>
      <c r="O345" s="29" t="s">
        <v>69</v>
      </c>
      <c r="P345" s="29" t="s">
        <v>73</v>
      </c>
      <c r="Q345" s="29"/>
      <c r="S345" s="7" t="s">
        <v>290</v>
      </c>
      <c r="T345" s="7" t="s">
        <v>72</v>
      </c>
      <c r="U345" s="7" t="s">
        <v>72</v>
      </c>
      <c r="V345" s="7"/>
      <c r="AA345" t="str">
        <f>VLOOKUP(C345,[1]Sheet1!$C:$U,18,0)</f>
        <v/>
      </c>
    </row>
    <row r="346" spans="1:27" x14ac:dyDescent="0.3">
      <c r="A346" s="29" t="s">
        <v>442</v>
      </c>
      <c r="B346" s="29" t="s">
        <v>74</v>
      </c>
      <c r="C346" s="29" t="s">
        <v>443</v>
      </c>
      <c r="D346" s="29" t="s">
        <v>94</v>
      </c>
      <c r="E346" s="29"/>
      <c r="F346" s="48">
        <v>45303</v>
      </c>
      <c r="G346" s="48">
        <v>45382</v>
      </c>
      <c r="H346" s="29">
        <v>2024</v>
      </c>
      <c r="I346" s="30">
        <v>2000000</v>
      </c>
      <c r="J346" s="26">
        <v>0</v>
      </c>
      <c r="K346" s="26">
        <f t="shared" si="90"/>
        <v>2000000</v>
      </c>
      <c r="L346" s="28">
        <v>0</v>
      </c>
      <c r="M346" s="28">
        <f>K346-L346</f>
        <v>2000000</v>
      </c>
      <c r="N346" s="36" t="s">
        <v>68</v>
      </c>
      <c r="O346" s="29" t="s">
        <v>69</v>
      </c>
      <c r="P346" s="29" t="s">
        <v>77</v>
      </c>
      <c r="Q346" s="29"/>
      <c r="R346" t="s">
        <v>274</v>
      </c>
      <c r="S346" s="7"/>
      <c r="T346" s="7"/>
      <c r="U346" s="7"/>
      <c r="V346" s="7"/>
      <c r="AA346" t="str">
        <f>VLOOKUP(C346,[1]Sheet1!$C:$U,18,0)</f>
        <v/>
      </c>
    </row>
    <row r="347" spans="1:27" x14ac:dyDescent="0.3">
      <c r="A347" s="29" t="s">
        <v>442</v>
      </c>
      <c r="B347" s="29" t="s">
        <v>74</v>
      </c>
      <c r="C347" s="29" t="s">
        <v>443</v>
      </c>
      <c r="D347" s="29" t="s">
        <v>94</v>
      </c>
      <c r="E347" s="29"/>
      <c r="F347" s="48">
        <v>45303</v>
      </c>
      <c r="G347" s="48">
        <v>45382</v>
      </c>
      <c r="H347" s="29">
        <v>2024</v>
      </c>
      <c r="I347" s="30">
        <v>2000000</v>
      </c>
      <c r="J347" s="26">
        <v>0</v>
      </c>
      <c r="K347" s="26">
        <f t="shared" si="90"/>
        <v>2000000</v>
      </c>
      <c r="L347" s="28">
        <v>0</v>
      </c>
      <c r="M347" s="28">
        <f>K347-L347</f>
        <v>2000000</v>
      </c>
      <c r="N347" s="36" t="s">
        <v>68</v>
      </c>
      <c r="O347" s="29" t="s">
        <v>69</v>
      </c>
      <c r="P347" s="29" t="s">
        <v>73</v>
      </c>
      <c r="Q347" s="29"/>
      <c r="R347" t="s">
        <v>274</v>
      </c>
      <c r="S347" s="7"/>
      <c r="T347" s="7"/>
      <c r="U347" s="7"/>
      <c r="V347" s="7"/>
      <c r="AA347" t="str">
        <f>VLOOKUP(C347,[1]Sheet1!$C:$U,18,0)</f>
        <v/>
      </c>
    </row>
    <row r="348" spans="1:27" x14ac:dyDescent="0.3">
      <c r="L348" s="42"/>
    </row>
    <row r="349" spans="1:27" x14ac:dyDescent="0.3">
      <c r="L349" s="42"/>
      <c r="M349" s="43"/>
    </row>
    <row r="350" spans="1:27" x14ac:dyDescent="0.3">
      <c r="L350" s="43"/>
      <c r="M350" s="43"/>
    </row>
    <row r="351" spans="1:27" x14ac:dyDescent="0.3">
      <c r="L351" s="43"/>
      <c r="M351" s="43"/>
    </row>
    <row r="352" spans="1:27" x14ac:dyDescent="0.3">
      <c r="L352" s="43"/>
      <c r="M352" s="43"/>
    </row>
    <row r="354" spans="12:12" x14ac:dyDescent="0.3">
      <c r="L354" s="66"/>
    </row>
  </sheetData>
  <autoFilter ref="A2:AI348" xr:uid="{0FA0B4B1-E5BD-45BB-887B-A2EB5F51BA2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6A7E-E850-4590-8F06-D0B53A7726F6}">
  <dimension ref="C3:J27"/>
  <sheetViews>
    <sheetView workbookViewId="0">
      <selection activeCell="C3" sqref="C3:J27"/>
    </sheetView>
  </sheetViews>
  <sheetFormatPr defaultColWidth="11.44140625" defaultRowHeight="14.4" x14ac:dyDescent="0.3"/>
  <cols>
    <col min="3" max="3" width="24.88671875" bestFit="1" customWidth="1"/>
    <col min="4" max="4" width="15.6640625" bestFit="1" customWidth="1"/>
    <col min="5" max="6" width="10.33203125" bestFit="1" customWidth="1"/>
    <col min="7" max="7" width="5" bestFit="1" customWidth="1"/>
    <col min="8" max="8" width="12.33203125" bestFit="1" customWidth="1"/>
    <col min="9" max="9" width="11" bestFit="1" customWidth="1"/>
    <col min="10" max="10" width="10.5546875" bestFit="1" customWidth="1"/>
  </cols>
  <sheetData>
    <row r="3" spans="3:10" x14ac:dyDescent="0.3">
      <c r="C3" s="29" t="s">
        <v>307</v>
      </c>
      <c r="D3" s="29" t="s">
        <v>362</v>
      </c>
      <c r="E3" s="48">
        <v>45473</v>
      </c>
      <c r="F3" s="48">
        <v>45565</v>
      </c>
      <c r="G3" s="29">
        <v>2024</v>
      </c>
      <c r="H3" s="28">
        <v>6000000</v>
      </c>
      <c r="I3" s="29" t="s">
        <v>69</v>
      </c>
      <c r="J3" s="29" t="s">
        <v>73</v>
      </c>
    </row>
    <row r="4" spans="3:10" x14ac:dyDescent="0.3">
      <c r="C4" s="29" t="s">
        <v>307</v>
      </c>
      <c r="D4" s="29" t="s">
        <v>362</v>
      </c>
      <c r="E4" s="48">
        <v>45473</v>
      </c>
      <c r="F4" s="48">
        <v>45565</v>
      </c>
      <c r="G4" s="29">
        <v>2024</v>
      </c>
      <c r="H4" s="28">
        <v>6000000</v>
      </c>
      <c r="I4" s="29" t="s">
        <v>69</v>
      </c>
      <c r="J4" s="29" t="s">
        <v>77</v>
      </c>
    </row>
    <row r="5" spans="3:10" x14ac:dyDescent="0.3">
      <c r="C5" s="29" t="s">
        <v>307</v>
      </c>
      <c r="D5" s="29" t="s">
        <v>363</v>
      </c>
      <c r="E5" s="48">
        <v>45473</v>
      </c>
      <c r="F5" s="48">
        <v>45565</v>
      </c>
      <c r="G5" s="29">
        <v>2024</v>
      </c>
      <c r="H5" s="28">
        <v>2734924</v>
      </c>
      <c r="I5" s="29" t="s">
        <v>69</v>
      </c>
      <c r="J5" s="29" t="s">
        <v>73</v>
      </c>
    </row>
    <row r="6" spans="3:10" x14ac:dyDescent="0.3">
      <c r="C6" s="29" t="s">
        <v>307</v>
      </c>
      <c r="D6" s="29" t="s">
        <v>363</v>
      </c>
      <c r="E6" s="48">
        <v>45473</v>
      </c>
      <c r="F6" s="48">
        <v>45565</v>
      </c>
      <c r="G6" s="29">
        <v>2024</v>
      </c>
      <c r="H6" s="28">
        <v>2000000</v>
      </c>
      <c r="I6" s="29" t="s">
        <v>69</v>
      </c>
      <c r="J6" s="29" t="s">
        <v>77</v>
      </c>
    </row>
    <row r="7" spans="3:10" x14ac:dyDescent="0.3">
      <c r="C7" s="37" t="s">
        <v>182</v>
      </c>
      <c r="D7" s="29" t="s">
        <v>240</v>
      </c>
      <c r="E7" s="48">
        <v>45513</v>
      </c>
      <c r="F7" s="48">
        <v>45626</v>
      </c>
      <c r="G7" s="29">
        <v>2024</v>
      </c>
      <c r="H7" s="28">
        <v>2000000</v>
      </c>
      <c r="I7" s="29" t="s">
        <v>69</v>
      </c>
      <c r="J7" s="29" t="s">
        <v>70</v>
      </c>
    </row>
    <row r="8" spans="3:10" x14ac:dyDescent="0.3">
      <c r="C8" s="37" t="s">
        <v>182</v>
      </c>
      <c r="D8" s="29" t="s">
        <v>240</v>
      </c>
      <c r="E8" s="48">
        <v>45513</v>
      </c>
      <c r="F8" s="48">
        <v>45626</v>
      </c>
      <c r="G8" s="29">
        <v>2024</v>
      </c>
      <c r="H8" s="28">
        <v>2000000</v>
      </c>
      <c r="I8" s="29" t="s">
        <v>69</v>
      </c>
      <c r="J8" s="29" t="s">
        <v>73</v>
      </c>
    </row>
    <row r="9" spans="3:10" x14ac:dyDescent="0.3">
      <c r="C9" s="37" t="s">
        <v>182</v>
      </c>
      <c r="D9" s="29" t="s">
        <v>246</v>
      </c>
      <c r="E9" s="48">
        <v>45485</v>
      </c>
      <c r="F9" s="48">
        <v>45565</v>
      </c>
      <c r="G9" s="29">
        <v>2024</v>
      </c>
      <c r="H9" s="28">
        <v>2507153</v>
      </c>
      <c r="I9" s="29" t="s">
        <v>96</v>
      </c>
      <c r="J9" s="29" t="s">
        <v>73</v>
      </c>
    </row>
    <row r="10" spans="3:10" x14ac:dyDescent="0.3">
      <c r="C10" s="37" t="s">
        <v>182</v>
      </c>
      <c r="D10" s="29" t="s">
        <v>246</v>
      </c>
      <c r="E10" s="48">
        <v>45516</v>
      </c>
      <c r="F10" s="48">
        <v>45657</v>
      </c>
      <c r="G10" s="29">
        <v>2024</v>
      </c>
      <c r="H10" s="28">
        <v>1500000</v>
      </c>
      <c r="I10" s="29" t="s">
        <v>96</v>
      </c>
      <c r="J10" s="29" t="s">
        <v>70</v>
      </c>
    </row>
    <row r="11" spans="3:10" x14ac:dyDescent="0.3">
      <c r="C11" s="37" t="s">
        <v>182</v>
      </c>
      <c r="D11" s="29" t="s">
        <v>255</v>
      </c>
      <c r="E11" s="48">
        <v>45566</v>
      </c>
      <c r="F11" s="48">
        <v>45657</v>
      </c>
      <c r="G11" s="29">
        <v>2024</v>
      </c>
      <c r="H11" s="28">
        <v>1500000</v>
      </c>
      <c r="I11" s="29" t="s">
        <v>96</v>
      </c>
      <c r="J11" s="29" t="s">
        <v>77</v>
      </c>
    </row>
    <row r="12" spans="3:10" x14ac:dyDescent="0.3">
      <c r="C12" s="37" t="s">
        <v>182</v>
      </c>
      <c r="D12" s="29" t="s">
        <v>257</v>
      </c>
      <c r="E12" s="48">
        <v>45566</v>
      </c>
      <c r="F12" s="48">
        <v>45657</v>
      </c>
      <c r="G12" s="29">
        <v>2024</v>
      </c>
      <c r="H12" s="28">
        <v>8300000</v>
      </c>
      <c r="I12" s="29" t="s">
        <v>87</v>
      </c>
      <c r="J12" s="29" t="s">
        <v>73</v>
      </c>
    </row>
    <row r="13" spans="3:10" x14ac:dyDescent="0.3">
      <c r="C13" s="37" t="s">
        <v>182</v>
      </c>
      <c r="D13" s="29" t="s">
        <v>257</v>
      </c>
      <c r="E13" s="48">
        <v>45566</v>
      </c>
      <c r="F13" s="48">
        <v>45657</v>
      </c>
      <c r="G13" s="29">
        <v>2024</v>
      </c>
      <c r="H13" s="28">
        <v>8300000</v>
      </c>
      <c r="I13" s="29" t="s">
        <v>87</v>
      </c>
      <c r="J13" s="29" t="s">
        <v>77</v>
      </c>
    </row>
    <row r="14" spans="3:10" x14ac:dyDescent="0.3">
      <c r="C14" s="29" t="s">
        <v>264</v>
      </c>
      <c r="D14" s="29" t="s">
        <v>266</v>
      </c>
      <c r="E14" s="48">
        <v>45566</v>
      </c>
      <c r="F14" s="48">
        <v>45657</v>
      </c>
      <c r="G14" s="29">
        <v>2024</v>
      </c>
      <c r="H14" s="28">
        <v>3000000</v>
      </c>
      <c r="I14" s="29" t="s">
        <v>69</v>
      </c>
      <c r="J14" s="29" t="s">
        <v>73</v>
      </c>
    </row>
    <row r="15" spans="3:10" x14ac:dyDescent="0.3">
      <c r="C15" s="29" t="s">
        <v>264</v>
      </c>
      <c r="D15" s="29" t="s">
        <v>266</v>
      </c>
      <c r="E15" s="48">
        <v>45566</v>
      </c>
      <c r="F15" s="48">
        <v>45657</v>
      </c>
      <c r="G15" s="29">
        <v>2024</v>
      </c>
      <c r="H15" s="28">
        <v>3000000</v>
      </c>
      <c r="I15" s="29" t="s">
        <v>69</v>
      </c>
      <c r="J15" s="29" t="s">
        <v>77</v>
      </c>
    </row>
    <row r="16" spans="3:10" x14ac:dyDescent="0.3">
      <c r="C16" s="29" t="s">
        <v>275</v>
      </c>
      <c r="D16" s="29" t="s">
        <v>280</v>
      </c>
      <c r="E16" s="48">
        <v>45338</v>
      </c>
      <c r="F16" s="48">
        <v>45443</v>
      </c>
      <c r="G16" s="29">
        <v>2024</v>
      </c>
      <c r="H16" s="28">
        <v>1288978</v>
      </c>
      <c r="I16" s="29" t="s">
        <v>69</v>
      </c>
      <c r="J16" s="29" t="s">
        <v>70</v>
      </c>
    </row>
    <row r="17" spans="3:10" x14ac:dyDescent="0.3">
      <c r="C17" s="29" t="s">
        <v>275</v>
      </c>
      <c r="D17" s="29" t="s">
        <v>294</v>
      </c>
      <c r="E17" s="48">
        <v>45566</v>
      </c>
      <c r="F17" s="48">
        <v>45657</v>
      </c>
      <c r="G17" s="29">
        <v>2024</v>
      </c>
      <c r="H17" s="28">
        <v>2711022</v>
      </c>
      <c r="I17" s="29" t="s">
        <v>69</v>
      </c>
      <c r="J17" s="29" t="s">
        <v>73</v>
      </c>
    </row>
    <row r="18" spans="3:10" x14ac:dyDescent="0.3">
      <c r="C18" s="29" t="s">
        <v>275</v>
      </c>
      <c r="D18" s="29" t="s">
        <v>295</v>
      </c>
      <c r="E18" s="48">
        <v>45566</v>
      </c>
      <c r="F18" s="48">
        <v>45657</v>
      </c>
      <c r="G18" s="29">
        <v>2024</v>
      </c>
      <c r="H18" s="28">
        <v>2288978</v>
      </c>
      <c r="I18" s="29" t="s">
        <v>69</v>
      </c>
      <c r="J18" s="29" t="s">
        <v>73</v>
      </c>
    </row>
    <row r="19" spans="3:10" x14ac:dyDescent="0.3">
      <c r="C19" s="29" t="s">
        <v>275</v>
      </c>
      <c r="D19" s="29" t="s">
        <v>295</v>
      </c>
      <c r="E19" s="48">
        <v>45566</v>
      </c>
      <c r="F19" s="48">
        <v>45657</v>
      </c>
      <c r="G19" s="29">
        <v>2024</v>
      </c>
      <c r="H19" s="28">
        <v>5000000</v>
      </c>
      <c r="I19" s="29" t="s">
        <v>69</v>
      </c>
      <c r="J19" s="29" t="s">
        <v>77</v>
      </c>
    </row>
    <row r="20" spans="3:10" x14ac:dyDescent="0.3">
      <c r="C20" s="29" t="s">
        <v>275</v>
      </c>
      <c r="D20" s="29" t="s">
        <v>297</v>
      </c>
      <c r="E20" s="48">
        <v>45577</v>
      </c>
      <c r="F20" s="48">
        <v>45657</v>
      </c>
      <c r="G20" s="29">
        <v>2024</v>
      </c>
      <c r="H20" s="28">
        <v>2000000</v>
      </c>
      <c r="I20" s="29" t="s">
        <v>69</v>
      </c>
      <c r="J20" s="29" t="s">
        <v>73</v>
      </c>
    </row>
    <row r="21" spans="3:10" x14ac:dyDescent="0.3">
      <c r="C21" s="29" t="s">
        <v>275</v>
      </c>
      <c r="D21" s="29" t="s">
        <v>298</v>
      </c>
      <c r="E21" s="48">
        <v>45577</v>
      </c>
      <c r="F21" s="48">
        <v>45657</v>
      </c>
      <c r="G21" s="29">
        <v>2024</v>
      </c>
      <c r="H21" s="28">
        <v>710086</v>
      </c>
      <c r="I21" s="29" t="s">
        <v>69</v>
      </c>
      <c r="J21" s="29" t="s">
        <v>73</v>
      </c>
    </row>
    <row r="22" spans="3:10" x14ac:dyDescent="0.3">
      <c r="C22" s="29" t="s">
        <v>299</v>
      </c>
      <c r="D22" s="29" t="s">
        <v>303</v>
      </c>
      <c r="E22" s="48">
        <v>45566</v>
      </c>
      <c r="F22" s="48">
        <v>45657</v>
      </c>
      <c r="G22" s="29">
        <v>2024</v>
      </c>
      <c r="H22" s="28">
        <v>6500000</v>
      </c>
      <c r="I22" s="29" t="s">
        <v>69</v>
      </c>
      <c r="J22" s="29" t="s">
        <v>73</v>
      </c>
    </row>
    <row r="23" spans="3:10" x14ac:dyDescent="0.3">
      <c r="C23" s="29" t="s">
        <v>299</v>
      </c>
      <c r="D23" s="29" t="s">
        <v>303</v>
      </c>
      <c r="E23" s="48">
        <v>45566</v>
      </c>
      <c r="F23" s="48">
        <v>45657</v>
      </c>
      <c r="G23" s="29">
        <v>2024</v>
      </c>
      <c r="H23" s="28">
        <v>6500000</v>
      </c>
      <c r="I23" s="29" t="s">
        <v>69</v>
      </c>
      <c r="J23" s="29" t="s">
        <v>77</v>
      </c>
    </row>
    <row r="24" spans="3:10" x14ac:dyDescent="0.3">
      <c r="C24" s="29" t="s">
        <v>299</v>
      </c>
      <c r="D24" s="29" t="s">
        <v>306</v>
      </c>
      <c r="E24" s="48">
        <v>45577</v>
      </c>
      <c r="F24" s="48">
        <v>45657</v>
      </c>
      <c r="G24" s="29">
        <v>2024</v>
      </c>
      <c r="H24" s="28">
        <v>1500000</v>
      </c>
      <c r="I24" s="29" t="s">
        <v>69</v>
      </c>
      <c r="J24" s="29" t="s">
        <v>70</v>
      </c>
    </row>
    <row r="25" spans="3:10" x14ac:dyDescent="0.3">
      <c r="C25" s="29" t="s">
        <v>402</v>
      </c>
      <c r="D25" s="29" t="s">
        <v>419</v>
      </c>
      <c r="E25" s="48">
        <v>45485</v>
      </c>
      <c r="F25" s="48">
        <v>45565</v>
      </c>
      <c r="G25" s="29">
        <v>2024</v>
      </c>
      <c r="H25" s="28">
        <v>316896</v>
      </c>
      <c r="I25" s="29" t="s">
        <v>69</v>
      </c>
      <c r="J25" s="29" t="s">
        <v>70</v>
      </c>
    </row>
    <row r="26" spans="3:10" x14ac:dyDescent="0.3">
      <c r="C26" s="29" t="s">
        <v>402</v>
      </c>
      <c r="D26" s="29" t="s">
        <v>424</v>
      </c>
      <c r="E26" s="48">
        <v>45513</v>
      </c>
      <c r="F26" s="48">
        <v>45626</v>
      </c>
      <c r="G26" s="29">
        <v>2024</v>
      </c>
      <c r="H26" s="28">
        <v>13882978</v>
      </c>
      <c r="I26" s="29" t="s">
        <v>69</v>
      </c>
      <c r="J26" s="29" t="s">
        <v>70</v>
      </c>
    </row>
    <row r="27" spans="3:10" x14ac:dyDescent="0.3">
      <c r="C27" s="29" t="s">
        <v>402</v>
      </c>
      <c r="D27" s="29" t="s">
        <v>424</v>
      </c>
      <c r="E27" s="48">
        <v>45513</v>
      </c>
      <c r="F27" s="48">
        <v>45626</v>
      </c>
      <c r="G27" s="29">
        <v>2024</v>
      </c>
      <c r="H27" s="28">
        <v>8800126</v>
      </c>
      <c r="I27" s="29" t="s">
        <v>69</v>
      </c>
      <c r="J27" s="2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Normal="100" workbookViewId="0">
      <selection activeCell="F10" sqref="F10"/>
    </sheetView>
  </sheetViews>
  <sheetFormatPr defaultColWidth="8.88671875" defaultRowHeight="14.4" x14ac:dyDescent="0.3"/>
  <cols>
    <col min="1" max="1" width="10.6640625" style="57" bestFit="1" customWidth="1"/>
    <col min="2" max="2" width="14.33203125" style="57" bestFit="1" customWidth="1"/>
    <col min="3" max="3" width="10.44140625" style="57" bestFit="1" customWidth="1"/>
    <col min="4" max="4" width="8.5546875" style="57" bestFit="1" customWidth="1"/>
    <col min="5" max="5" width="15.5546875" style="57" bestFit="1" customWidth="1"/>
    <col min="6" max="6" width="19.6640625" style="57" bestFit="1" customWidth="1"/>
    <col min="7" max="7" width="13.33203125" style="57" bestFit="1" customWidth="1"/>
    <col min="8" max="8" width="11.33203125" style="57" bestFit="1" customWidth="1"/>
  </cols>
  <sheetData>
    <row r="1" spans="1:8" x14ac:dyDescent="0.3">
      <c r="A1" s="57" t="s">
        <v>42</v>
      </c>
      <c r="B1" s="29" t="s">
        <v>365</v>
      </c>
    </row>
    <row r="3" spans="1:8" x14ac:dyDescent="0.3">
      <c r="A3" s="53" t="s">
        <v>444</v>
      </c>
      <c r="B3" s="53" t="s">
        <v>445</v>
      </c>
      <c r="C3" s="53" t="s">
        <v>446</v>
      </c>
      <c r="D3" s="53" t="s">
        <v>447</v>
      </c>
      <c r="E3" s="53" t="s">
        <v>448</v>
      </c>
      <c r="F3" s="53" t="s">
        <v>449</v>
      </c>
      <c r="G3" s="53" t="s">
        <v>450</v>
      </c>
      <c r="H3" s="53" t="s">
        <v>451</v>
      </c>
    </row>
    <row r="4" spans="1:8" x14ac:dyDescent="0.3">
      <c r="A4" s="54" t="s">
        <v>452</v>
      </c>
      <c r="B4" s="54" t="s">
        <v>453</v>
      </c>
      <c r="C4" s="70" t="s">
        <v>454</v>
      </c>
      <c r="D4" s="70" t="s">
        <v>455</v>
      </c>
      <c r="E4" s="58">
        <v>5000000</v>
      </c>
      <c r="F4" s="59">
        <v>3163120</v>
      </c>
      <c r="G4" s="59">
        <f>F4*H4</f>
        <v>37957.440000000002</v>
      </c>
      <c r="H4" s="60">
        <v>1.2E-2</v>
      </c>
    </row>
    <row r="5" spans="1:8" x14ac:dyDescent="0.3">
      <c r="A5" s="54" t="s">
        <v>456</v>
      </c>
      <c r="B5" s="54">
        <v>45301</v>
      </c>
      <c r="C5" s="70" t="s">
        <v>457</v>
      </c>
      <c r="D5" s="70" t="s">
        <v>458</v>
      </c>
      <c r="E5" s="58">
        <v>8616683</v>
      </c>
      <c r="F5" s="59">
        <v>3817759</v>
      </c>
      <c r="G5" s="59">
        <f>F5*H5</f>
        <v>46576.659800000001</v>
      </c>
      <c r="H5" s="61">
        <v>1.2200000000000001E-2</v>
      </c>
    </row>
    <row r="6" spans="1:8" ht="22.8" x14ac:dyDescent="0.4">
      <c r="A6" s="55"/>
      <c r="B6" s="55"/>
      <c r="C6" s="55"/>
      <c r="D6" s="56"/>
      <c r="E6" s="62">
        <f>SUM(E4:E5)</f>
        <v>13616683</v>
      </c>
      <c r="F6" s="64">
        <f>SUM(F4:F5)</f>
        <v>6980879</v>
      </c>
      <c r="G6" s="65">
        <f>SUM(G4:G5)</f>
        <v>84534.099799999996</v>
      </c>
      <c r="H6" s="63">
        <f>AVERAGE(H4:H5)</f>
        <v>1.21E-2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8"/>
  <sheetViews>
    <sheetView workbookViewId="0">
      <selection activeCell="J6" sqref="J6:J7"/>
    </sheetView>
  </sheetViews>
  <sheetFormatPr defaultColWidth="8.88671875" defaultRowHeight="14.4" x14ac:dyDescent="0.3"/>
  <cols>
    <col min="1" max="1" width="17.88671875" bestFit="1" customWidth="1"/>
    <col min="2" max="2" width="25.6640625" hidden="1" customWidth="1"/>
    <col min="4" max="4" width="0" hidden="1" customWidth="1"/>
    <col min="5" max="5" width="11" bestFit="1" customWidth="1"/>
    <col min="6" max="6" width="10" bestFit="1" customWidth="1"/>
  </cols>
  <sheetData>
    <row r="3" spans="1:6" x14ac:dyDescent="0.3">
      <c r="A3" s="39" t="s">
        <v>459</v>
      </c>
    </row>
    <row r="4" spans="1:6" x14ac:dyDescent="0.3">
      <c r="A4" s="39" t="s">
        <v>42</v>
      </c>
      <c r="B4" s="39" t="s">
        <v>460</v>
      </c>
      <c r="C4" s="39" t="s">
        <v>45</v>
      </c>
      <c r="D4" s="39" t="s">
        <v>461</v>
      </c>
      <c r="E4" s="39" t="s">
        <v>46</v>
      </c>
      <c r="F4" t="s">
        <v>17</v>
      </c>
    </row>
    <row r="5" spans="1:6" x14ac:dyDescent="0.3">
      <c r="A5" t="s">
        <v>329</v>
      </c>
      <c r="B5" t="s">
        <v>462</v>
      </c>
      <c r="C5" s="52" t="s">
        <v>463</v>
      </c>
      <c r="D5" t="s">
        <v>464</v>
      </c>
      <c r="E5" s="52" t="s">
        <v>465</v>
      </c>
      <c r="F5">
        <v>1009275</v>
      </c>
    </row>
    <row r="6" spans="1:6" x14ac:dyDescent="0.3">
      <c r="A6" t="s">
        <v>349</v>
      </c>
      <c r="B6" t="s">
        <v>464</v>
      </c>
      <c r="C6" s="52" t="s">
        <v>466</v>
      </c>
      <c r="D6" t="s">
        <v>467</v>
      </c>
      <c r="E6" s="52" t="s">
        <v>468</v>
      </c>
      <c r="F6">
        <v>2000000</v>
      </c>
    </row>
    <row r="7" spans="1:6" x14ac:dyDescent="0.3">
      <c r="A7" t="s">
        <v>347</v>
      </c>
      <c r="B7" t="s">
        <v>469</v>
      </c>
      <c r="C7" s="52" t="s">
        <v>470</v>
      </c>
      <c r="D7" t="s">
        <v>467</v>
      </c>
      <c r="E7" s="52" t="s">
        <v>468</v>
      </c>
      <c r="F7">
        <v>3000000</v>
      </c>
    </row>
    <row r="8" spans="1:6" x14ac:dyDescent="0.3">
      <c r="A8" t="s">
        <v>358</v>
      </c>
      <c r="B8" t="s">
        <v>464</v>
      </c>
      <c r="C8" s="52" t="s">
        <v>471</v>
      </c>
      <c r="D8" t="s">
        <v>464</v>
      </c>
      <c r="E8" s="52" t="s">
        <v>472</v>
      </c>
      <c r="F8">
        <v>6000000</v>
      </c>
    </row>
    <row r="9" spans="1:6" x14ac:dyDescent="0.3">
      <c r="A9" t="s">
        <v>361</v>
      </c>
      <c r="B9" t="s">
        <v>464</v>
      </c>
      <c r="C9" s="52" t="s">
        <v>473</v>
      </c>
      <c r="D9" t="s">
        <v>467</v>
      </c>
      <c r="E9" s="52" t="s">
        <v>468</v>
      </c>
      <c r="F9">
        <v>4000000</v>
      </c>
    </row>
    <row r="10" spans="1:6" x14ac:dyDescent="0.3">
      <c r="A10" t="s">
        <v>362</v>
      </c>
      <c r="B10" t="s">
        <v>464</v>
      </c>
      <c r="C10" s="52" t="s">
        <v>465</v>
      </c>
      <c r="D10" t="s">
        <v>474</v>
      </c>
      <c r="E10" s="52" t="s">
        <v>475</v>
      </c>
      <c r="F10">
        <v>12000000</v>
      </c>
    </row>
    <row r="11" spans="1:6" x14ac:dyDescent="0.3">
      <c r="A11" t="s">
        <v>365</v>
      </c>
      <c r="B11" t="s">
        <v>464</v>
      </c>
      <c r="C11" s="52" t="s">
        <v>465</v>
      </c>
      <c r="D11" t="s">
        <v>474</v>
      </c>
      <c r="E11" s="52" t="s">
        <v>475</v>
      </c>
      <c r="F11">
        <v>12265076</v>
      </c>
    </row>
    <row r="12" spans="1:6" x14ac:dyDescent="0.3">
      <c r="A12" t="s">
        <v>379</v>
      </c>
      <c r="B12" t="s">
        <v>476</v>
      </c>
      <c r="C12" s="52" t="s">
        <v>477</v>
      </c>
      <c r="D12" t="s">
        <v>478</v>
      </c>
      <c r="E12" s="52" t="s">
        <v>479</v>
      </c>
      <c r="F12">
        <v>36000000</v>
      </c>
    </row>
    <row r="13" spans="1:6" x14ac:dyDescent="0.3">
      <c r="A13" t="s">
        <v>384</v>
      </c>
      <c r="B13" t="s">
        <v>467</v>
      </c>
      <c r="C13" s="52" t="s">
        <v>480</v>
      </c>
      <c r="D13" t="s">
        <v>481</v>
      </c>
      <c r="E13" s="52" t="s">
        <v>482</v>
      </c>
      <c r="F13">
        <v>9104000</v>
      </c>
    </row>
    <row r="14" spans="1:6" x14ac:dyDescent="0.3">
      <c r="A14" t="s">
        <v>386</v>
      </c>
      <c r="B14" t="s">
        <v>467</v>
      </c>
      <c r="C14" s="52" t="s">
        <v>480</v>
      </c>
      <c r="D14" t="s">
        <v>481</v>
      </c>
      <c r="E14" s="52" t="s">
        <v>482</v>
      </c>
      <c r="F14">
        <v>1990725</v>
      </c>
    </row>
    <row r="15" spans="1:6" x14ac:dyDescent="0.3">
      <c r="A15" t="s">
        <v>389</v>
      </c>
      <c r="B15" t="s">
        <v>467</v>
      </c>
      <c r="C15" s="52" t="s">
        <v>480</v>
      </c>
      <c r="D15" t="s">
        <v>481</v>
      </c>
      <c r="E15" s="52" t="s">
        <v>482</v>
      </c>
      <c r="F15">
        <v>21197500</v>
      </c>
    </row>
    <row r="16" spans="1:6" x14ac:dyDescent="0.3">
      <c r="A16" t="s">
        <v>388</v>
      </c>
      <c r="B16" t="s">
        <v>467</v>
      </c>
      <c r="C16" s="52" t="s">
        <v>480</v>
      </c>
      <c r="D16" t="s">
        <v>481</v>
      </c>
      <c r="E16" s="52" t="s">
        <v>482</v>
      </c>
      <c r="F16">
        <v>5870924</v>
      </c>
    </row>
    <row r="17" spans="1:6" x14ac:dyDescent="0.3">
      <c r="A17" t="s">
        <v>394</v>
      </c>
      <c r="B17" t="s">
        <v>467</v>
      </c>
      <c r="C17" s="52" t="s">
        <v>483</v>
      </c>
      <c r="D17" t="s">
        <v>481</v>
      </c>
      <c r="E17" s="52" t="s">
        <v>482</v>
      </c>
      <c r="F17">
        <v>13616683</v>
      </c>
    </row>
    <row r="18" spans="1:6" x14ac:dyDescent="0.3">
      <c r="A18" t="s">
        <v>484</v>
      </c>
      <c r="F18">
        <v>128054183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sqref="A1:I18"/>
    </sheetView>
  </sheetViews>
  <sheetFormatPr defaultColWidth="8.88671875" defaultRowHeight="14.4" x14ac:dyDescent="0.3"/>
  <sheetData>
    <row r="1" spans="1:9" x14ac:dyDescent="0.3">
      <c r="A1" s="17" t="s">
        <v>40</v>
      </c>
      <c r="B1" s="17" t="s">
        <v>42</v>
      </c>
      <c r="C1" s="19" t="s">
        <v>45</v>
      </c>
      <c r="D1" s="19" t="s">
        <v>46</v>
      </c>
      <c r="E1" s="21" t="s">
        <v>17</v>
      </c>
      <c r="F1" s="25" t="s">
        <v>50</v>
      </c>
      <c r="G1" s="25" t="s">
        <v>51</v>
      </c>
      <c r="H1" s="18" t="s">
        <v>53</v>
      </c>
      <c r="I1" s="18" t="s">
        <v>54</v>
      </c>
    </row>
    <row r="2" spans="1:9" x14ac:dyDescent="0.3">
      <c r="A2" s="29" t="s">
        <v>307</v>
      </c>
      <c r="B2" s="29" t="s">
        <v>329</v>
      </c>
      <c r="C2" s="48">
        <v>45382</v>
      </c>
      <c r="D2" s="48">
        <v>45473</v>
      </c>
      <c r="E2" s="30">
        <v>1009275</v>
      </c>
      <c r="F2" s="28">
        <v>1009275</v>
      </c>
      <c r="G2" s="28">
        <v>0</v>
      </c>
      <c r="H2" s="29" t="s">
        <v>82</v>
      </c>
      <c r="I2" s="29" t="s">
        <v>70</v>
      </c>
    </row>
    <row r="3" spans="1:9" x14ac:dyDescent="0.3">
      <c r="A3" s="29" t="s">
        <v>307</v>
      </c>
      <c r="B3" s="29" t="s">
        <v>347</v>
      </c>
      <c r="C3" s="48">
        <v>45437</v>
      </c>
      <c r="D3" s="48">
        <v>45535</v>
      </c>
      <c r="E3" s="30">
        <v>3000000</v>
      </c>
      <c r="F3" s="28">
        <v>3000000</v>
      </c>
      <c r="G3" s="28">
        <v>0</v>
      </c>
      <c r="H3" s="29" t="s">
        <v>96</v>
      </c>
      <c r="I3" s="29" t="s">
        <v>73</v>
      </c>
    </row>
    <row r="4" spans="1:9" x14ac:dyDescent="0.3">
      <c r="A4" s="29" t="s">
        <v>307</v>
      </c>
      <c r="B4" s="29" t="s">
        <v>349</v>
      </c>
      <c r="C4" s="48">
        <v>45444</v>
      </c>
      <c r="D4" s="48">
        <v>45535</v>
      </c>
      <c r="E4" s="30">
        <v>2000000</v>
      </c>
      <c r="F4" s="28">
        <v>2000000</v>
      </c>
      <c r="G4" s="28">
        <v>0</v>
      </c>
      <c r="H4" s="29" t="s">
        <v>87</v>
      </c>
      <c r="I4" s="29" t="s">
        <v>70</v>
      </c>
    </row>
    <row r="5" spans="1:9" x14ac:dyDescent="0.3">
      <c r="A5" s="29" t="s">
        <v>307</v>
      </c>
      <c r="B5" s="29" t="s">
        <v>358</v>
      </c>
      <c r="C5" s="48">
        <v>45445</v>
      </c>
      <c r="D5" s="48">
        <v>45458</v>
      </c>
      <c r="E5" s="30">
        <v>3000000</v>
      </c>
      <c r="F5" s="28">
        <v>3000000</v>
      </c>
      <c r="G5" s="28">
        <v>0</v>
      </c>
      <c r="H5" s="29" t="s">
        <v>69</v>
      </c>
      <c r="I5" s="29" t="s">
        <v>77</v>
      </c>
    </row>
    <row r="6" spans="1:9" x14ac:dyDescent="0.3">
      <c r="A6" s="29" t="s">
        <v>307</v>
      </c>
      <c r="B6" s="29" t="s">
        <v>358</v>
      </c>
      <c r="C6" s="48">
        <v>45445</v>
      </c>
      <c r="D6" s="48">
        <v>45458</v>
      </c>
      <c r="E6" s="30">
        <v>3000000</v>
      </c>
      <c r="F6" s="28">
        <v>3000000</v>
      </c>
      <c r="G6" s="28">
        <v>0</v>
      </c>
      <c r="H6" s="29" t="s">
        <v>69</v>
      </c>
      <c r="I6" s="29" t="s">
        <v>70</v>
      </c>
    </row>
    <row r="7" spans="1:9" x14ac:dyDescent="0.3">
      <c r="A7" s="29" t="s">
        <v>307</v>
      </c>
      <c r="B7" s="29" t="s">
        <v>361</v>
      </c>
      <c r="C7" s="48">
        <v>45455</v>
      </c>
      <c r="D7" s="48">
        <v>45535</v>
      </c>
      <c r="E7" s="30">
        <v>4000000</v>
      </c>
      <c r="F7" s="28">
        <v>4000000</v>
      </c>
      <c r="G7" s="28">
        <v>0</v>
      </c>
      <c r="H7" s="29" t="s">
        <v>69</v>
      </c>
      <c r="I7" s="29" t="s">
        <v>73</v>
      </c>
    </row>
    <row r="8" spans="1:9" x14ac:dyDescent="0.3">
      <c r="A8" s="29" t="s">
        <v>307</v>
      </c>
      <c r="B8" s="29" t="s">
        <v>362</v>
      </c>
      <c r="C8" s="48">
        <v>45473</v>
      </c>
      <c r="D8" s="48">
        <v>45565</v>
      </c>
      <c r="E8" s="30">
        <v>6000000</v>
      </c>
      <c r="F8" s="28">
        <v>6000000</v>
      </c>
      <c r="G8" s="28">
        <v>0</v>
      </c>
      <c r="H8" s="29" t="s">
        <v>69</v>
      </c>
      <c r="I8" s="29" t="s">
        <v>73</v>
      </c>
    </row>
    <row r="9" spans="1:9" x14ac:dyDescent="0.3">
      <c r="A9" s="29" t="s">
        <v>307</v>
      </c>
      <c r="B9" s="29" t="s">
        <v>362</v>
      </c>
      <c r="C9" s="48">
        <v>45473</v>
      </c>
      <c r="D9" s="48">
        <v>45565</v>
      </c>
      <c r="E9" s="30">
        <v>6000000</v>
      </c>
      <c r="F9" s="28">
        <v>6000000</v>
      </c>
      <c r="G9" s="28">
        <v>0</v>
      </c>
      <c r="H9" s="29" t="s">
        <v>69</v>
      </c>
      <c r="I9" s="29" t="s">
        <v>77</v>
      </c>
    </row>
    <row r="10" spans="1:9" x14ac:dyDescent="0.3">
      <c r="A10" s="29" t="s">
        <v>307</v>
      </c>
      <c r="B10" s="29" t="s">
        <v>365</v>
      </c>
      <c r="C10" s="48">
        <v>45473</v>
      </c>
      <c r="D10" s="48">
        <v>45565</v>
      </c>
      <c r="E10" s="30">
        <v>5765076</v>
      </c>
      <c r="F10" s="28">
        <v>5765076</v>
      </c>
      <c r="G10" s="28">
        <v>0</v>
      </c>
      <c r="H10" s="29" t="s">
        <v>69</v>
      </c>
      <c r="I10" s="29" t="s">
        <v>73</v>
      </c>
    </row>
    <row r="11" spans="1:9" x14ac:dyDescent="0.3">
      <c r="A11" s="29" t="s">
        <v>307</v>
      </c>
      <c r="B11" s="29" t="s">
        <v>365</v>
      </c>
      <c r="C11" s="48">
        <v>45473</v>
      </c>
      <c r="D11" s="48">
        <v>45565</v>
      </c>
      <c r="E11" s="30">
        <v>6500000</v>
      </c>
      <c r="F11" s="28">
        <v>6500000</v>
      </c>
      <c r="G11" s="28">
        <v>0</v>
      </c>
      <c r="H11" s="29" t="s">
        <v>69</v>
      </c>
      <c r="I11" s="29" t="s">
        <v>77</v>
      </c>
    </row>
    <row r="12" spans="1:9" x14ac:dyDescent="0.3">
      <c r="A12" s="29" t="s">
        <v>307</v>
      </c>
      <c r="B12" s="29" t="s">
        <v>379</v>
      </c>
      <c r="C12" s="48">
        <v>45504</v>
      </c>
      <c r="D12" s="48">
        <v>45657</v>
      </c>
      <c r="E12" s="30">
        <v>47396000</v>
      </c>
      <c r="F12" s="28">
        <v>36000000</v>
      </c>
      <c r="G12" s="28">
        <v>11396000</v>
      </c>
      <c r="H12" s="29" t="s">
        <v>82</v>
      </c>
      <c r="I12" s="29" t="s">
        <v>73</v>
      </c>
    </row>
    <row r="13" spans="1:9" x14ac:dyDescent="0.3">
      <c r="A13" s="29" t="s">
        <v>307</v>
      </c>
      <c r="B13" s="29" t="s">
        <v>384</v>
      </c>
      <c r="C13" s="48">
        <v>45513</v>
      </c>
      <c r="D13" s="48">
        <v>45626</v>
      </c>
      <c r="E13" s="30">
        <v>9104000</v>
      </c>
      <c r="F13" s="28">
        <v>9104000</v>
      </c>
      <c r="G13" s="28">
        <v>0</v>
      </c>
      <c r="H13" s="29" t="s">
        <v>87</v>
      </c>
      <c r="I13" s="29" t="s">
        <v>73</v>
      </c>
    </row>
    <row r="14" spans="1:9" x14ac:dyDescent="0.3">
      <c r="A14" s="29" t="s">
        <v>307</v>
      </c>
      <c r="B14" s="29" t="s">
        <v>386</v>
      </c>
      <c r="C14" s="48">
        <v>45513</v>
      </c>
      <c r="D14" s="48">
        <v>45626</v>
      </c>
      <c r="E14" s="30">
        <v>3094000</v>
      </c>
      <c r="F14" s="28">
        <v>1990725</v>
      </c>
      <c r="G14" s="28">
        <v>1103275</v>
      </c>
      <c r="H14" s="29" t="s">
        <v>87</v>
      </c>
      <c r="I14" s="29" t="s">
        <v>73</v>
      </c>
    </row>
    <row r="15" spans="1:9" x14ac:dyDescent="0.3">
      <c r="A15" s="29" t="s">
        <v>307</v>
      </c>
      <c r="B15" s="29" t="s">
        <v>388</v>
      </c>
      <c r="C15" s="48">
        <v>45513</v>
      </c>
      <c r="D15" s="48">
        <v>45626</v>
      </c>
      <c r="E15" s="30">
        <v>17197500</v>
      </c>
      <c r="F15" s="28">
        <v>5870924</v>
      </c>
      <c r="G15" s="28">
        <v>11326576</v>
      </c>
      <c r="H15" s="29" t="s">
        <v>69</v>
      </c>
      <c r="I15" s="29" t="s">
        <v>70</v>
      </c>
    </row>
    <row r="16" spans="1:9" x14ac:dyDescent="0.3">
      <c r="A16" s="29" t="s">
        <v>307</v>
      </c>
      <c r="B16" s="29" t="s">
        <v>389</v>
      </c>
      <c r="C16" s="48">
        <v>45513</v>
      </c>
      <c r="D16" s="48">
        <v>45626</v>
      </c>
      <c r="E16" s="30">
        <v>21197500</v>
      </c>
      <c r="F16" s="28">
        <v>21197500</v>
      </c>
      <c r="G16" s="28">
        <v>0</v>
      </c>
      <c r="H16" s="29" t="s">
        <v>69</v>
      </c>
      <c r="I16" s="29" t="s">
        <v>73</v>
      </c>
    </row>
    <row r="17" spans="1:9" x14ac:dyDescent="0.3">
      <c r="A17" s="29" t="s">
        <v>307</v>
      </c>
      <c r="B17" s="29" t="s">
        <v>394</v>
      </c>
      <c r="C17" s="48">
        <v>45527</v>
      </c>
      <c r="D17" s="48">
        <v>45626</v>
      </c>
      <c r="E17" s="30">
        <v>5000000</v>
      </c>
      <c r="F17" s="28">
        <v>5000000</v>
      </c>
      <c r="G17" s="28">
        <v>0</v>
      </c>
      <c r="H17" s="29" t="s">
        <v>69</v>
      </c>
      <c r="I17" s="29" t="s">
        <v>70</v>
      </c>
    </row>
    <row r="18" spans="1:9" x14ac:dyDescent="0.3">
      <c r="A18" s="29" t="s">
        <v>307</v>
      </c>
      <c r="B18" s="29" t="s">
        <v>394</v>
      </c>
      <c r="C18" s="48">
        <v>45527</v>
      </c>
      <c r="D18" s="48">
        <v>45626</v>
      </c>
      <c r="E18" s="30">
        <v>8616683</v>
      </c>
      <c r="F18" s="28">
        <v>8616683</v>
      </c>
      <c r="G18" s="28">
        <v>0</v>
      </c>
      <c r="H18" s="29" t="s">
        <v>69</v>
      </c>
      <c r="I18" s="29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B11" sqref="B11"/>
    </sheetView>
  </sheetViews>
  <sheetFormatPr defaultColWidth="8.88671875" defaultRowHeight="14.4" x14ac:dyDescent="0.3"/>
  <cols>
    <col min="1" max="1" width="28.88671875" customWidth="1"/>
    <col min="2" max="2" width="15.5546875" customWidth="1"/>
    <col min="3" max="3" width="12.44140625" customWidth="1"/>
    <col min="4" max="5" width="11.44140625" customWidth="1"/>
    <col min="6" max="6" width="12.44140625" customWidth="1"/>
    <col min="7" max="10" width="29.6640625" bestFit="1" customWidth="1"/>
    <col min="11" max="11" width="10.6640625" bestFit="1" customWidth="1"/>
  </cols>
  <sheetData>
    <row r="1" spans="1:6" x14ac:dyDescent="0.3">
      <c r="A1" s="39" t="s">
        <v>43</v>
      </c>
      <c r="B1" t="s">
        <v>94</v>
      </c>
    </row>
    <row r="3" spans="1:6" x14ac:dyDescent="0.3">
      <c r="A3" s="39" t="s">
        <v>485</v>
      </c>
      <c r="B3" s="39" t="s">
        <v>486</v>
      </c>
    </row>
    <row r="4" spans="1:6" x14ac:dyDescent="0.3">
      <c r="A4" s="39" t="s">
        <v>487</v>
      </c>
      <c r="B4" t="s">
        <v>69</v>
      </c>
      <c r="C4" t="s">
        <v>82</v>
      </c>
      <c r="D4" t="s">
        <v>87</v>
      </c>
      <c r="E4" t="s">
        <v>96</v>
      </c>
      <c r="F4" t="s">
        <v>484</v>
      </c>
    </row>
    <row r="5" spans="1:6" x14ac:dyDescent="0.3">
      <c r="A5" s="40" t="s">
        <v>64</v>
      </c>
      <c r="B5" s="41">
        <v>67136551</v>
      </c>
      <c r="C5" s="41">
        <v>30000000</v>
      </c>
      <c r="D5" s="41">
        <v>25000000</v>
      </c>
      <c r="E5" s="41">
        <v>8280000</v>
      </c>
      <c r="F5" s="41">
        <v>130416551</v>
      </c>
    </row>
    <row r="6" spans="1:6" x14ac:dyDescent="0.3">
      <c r="A6" s="40" t="s">
        <v>182</v>
      </c>
      <c r="B6" s="41">
        <v>44500000</v>
      </c>
      <c r="C6" s="41">
        <v>25000000</v>
      </c>
      <c r="D6" s="41">
        <v>25171984</v>
      </c>
      <c r="E6" s="41">
        <v>5507153</v>
      </c>
      <c r="F6" s="41">
        <v>100179137</v>
      </c>
    </row>
    <row r="7" spans="1:6" x14ac:dyDescent="0.3">
      <c r="A7" s="40" t="s">
        <v>264</v>
      </c>
      <c r="B7" s="41">
        <v>6000000</v>
      </c>
      <c r="C7" s="41"/>
      <c r="D7" s="41"/>
      <c r="E7" s="41"/>
      <c r="F7" s="41">
        <v>6000000</v>
      </c>
    </row>
    <row r="8" spans="1:6" x14ac:dyDescent="0.3">
      <c r="A8" s="40" t="s">
        <v>269</v>
      </c>
      <c r="B8" s="41"/>
      <c r="C8" s="41"/>
      <c r="D8" s="41">
        <v>2400789</v>
      </c>
      <c r="E8" s="41"/>
      <c r="F8" s="41">
        <v>2400789</v>
      </c>
    </row>
    <row r="9" spans="1:6" x14ac:dyDescent="0.3">
      <c r="A9" s="40" t="s">
        <v>275</v>
      </c>
      <c r="B9" s="41">
        <v>21589901</v>
      </c>
      <c r="C9" s="41"/>
      <c r="D9" s="41"/>
      <c r="E9" s="41"/>
      <c r="F9" s="41">
        <v>21589901</v>
      </c>
    </row>
    <row r="10" spans="1:6" x14ac:dyDescent="0.3">
      <c r="A10" s="40" t="s">
        <v>299</v>
      </c>
      <c r="B10" s="41">
        <v>16500000</v>
      </c>
      <c r="C10" s="41"/>
      <c r="D10" s="41"/>
      <c r="E10" s="41"/>
      <c r="F10" s="41">
        <v>16500000</v>
      </c>
    </row>
    <row r="11" spans="1:6" x14ac:dyDescent="0.3">
      <c r="A11" s="40" t="s">
        <v>307</v>
      </c>
      <c r="B11" s="41">
        <v>152291441</v>
      </c>
      <c r="C11" s="41">
        <v>199945518</v>
      </c>
      <c r="D11" s="41">
        <v>42229962</v>
      </c>
      <c r="E11" s="41">
        <v>21113000</v>
      </c>
      <c r="F11" s="41">
        <v>415579921</v>
      </c>
    </row>
    <row r="12" spans="1:6" x14ac:dyDescent="0.3">
      <c r="A12" s="40" t="s">
        <v>402</v>
      </c>
      <c r="B12" s="41">
        <v>64949874</v>
      </c>
      <c r="C12" s="41">
        <v>16000000</v>
      </c>
      <c r="D12" s="41"/>
      <c r="E12" s="41"/>
      <c r="F12" s="41">
        <v>80949874</v>
      </c>
    </row>
    <row r="13" spans="1:6" x14ac:dyDescent="0.3">
      <c r="A13" s="40" t="s">
        <v>429</v>
      </c>
      <c r="B13" s="41">
        <v>2000000</v>
      </c>
      <c r="C13" s="41">
        <v>0</v>
      </c>
      <c r="D13" s="41">
        <v>2000000</v>
      </c>
      <c r="E13" s="41">
        <v>0</v>
      </c>
      <c r="F13" s="41">
        <v>4000000</v>
      </c>
    </row>
    <row r="14" spans="1:6" x14ac:dyDescent="0.3">
      <c r="A14" s="40" t="s">
        <v>442</v>
      </c>
      <c r="B14" s="41">
        <v>4000000</v>
      </c>
      <c r="C14" s="41"/>
      <c r="D14" s="41"/>
      <c r="E14" s="41"/>
      <c r="F14" s="41">
        <v>4000000</v>
      </c>
    </row>
    <row r="15" spans="1:6" x14ac:dyDescent="0.3">
      <c r="A15" s="40" t="s">
        <v>484</v>
      </c>
      <c r="B15" s="41">
        <v>378967767</v>
      </c>
      <c r="C15" s="41">
        <v>270945518</v>
      </c>
      <c r="D15" s="41">
        <v>96802735</v>
      </c>
      <c r="E15" s="41">
        <v>34900153</v>
      </c>
      <c r="F15" s="41">
        <v>781616173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024D48BEB8F548B1768B8F42DE93B7" ma:contentTypeVersion="11" ma:contentTypeDescription="Crear nuevo documento." ma:contentTypeScope="" ma:versionID="b27293ca3ece170ae34c4a94dea01faf">
  <xsd:schema xmlns:xsd="http://www.w3.org/2001/XMLSchema" xmlns:xs="http://www.w3.org/2001/XMLSchema" xmlns:p="http://schemas.microsoft.com/office/2006/metadata/properties" xmlns:ns2="0c5b17b4-c8aa-489c-8419-6cbaf1733ba6" xmlns:ns3="da739f2a-ab9d-4a09-8a13-015ac39db4e1" targetNamespace="http://schemas.microsoft.com/office/2006/metadata/properties" ma:root="true" ma:fieldsID="4c004be9f360fb7a92c827b64ddbd8db" ns2:_="" ns3:_="">
    <xsd:import namespace="0c5b17b4-c8aa-489c-8419-6cbaf1733ba6"/>
    <xsd:import namespace="da739f2a-ab9d-4a09-8a13-015ac39db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b17b4-c8aa-489c-8419-6cbaf1733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71db62-e625-4a44-9f2e-385d8ff0f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739f2a-ab9d-4a09-8a13-015ac39db4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3ea9dc-c944-4419-888c-674b1166e3b7}" ma:internalName="TaxCatchAll" ma:showField="CatchAllData" ma:web="da739f2a-ab9d-4a09-8a13-015ac39db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5b17b4-c8aa-489c-8419-6cbaf1733ba6">
      <Terms xmlns="http://schemas.microsoft.com/office/infopath/2007/PartnerControls"/>
    </lcf76f155ced4ddcb4097134ff3c332f>
    <TaxCatchAll xmlns="da739f2a-ab9d-4a09-8a13-015ac39db4e1" xsi:nil="true"/>
  </documentManagement>
</p:properties>
</file>

<file path=customXml/itemProps1.xml><?xml version="1.0" encoding="utf-8"?>
<ds:datastoreItem xmlns:ds="http://schemas.openxmlformats.org/officeDocument/2006/customXml" ds:itemID="{F9E51CAF-1965-4A29-B408-7D59393D1F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54881-A825-4922-AFAD-88A77CBF9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5b17b4-c8aa-489c-8419-6cbaf1733ba6"/>
    <ds:schemaRef ds:uri="da739f2a-ab9d-4a09-8a13-015ac39db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10B631-9664-49F6-8EA2-3AE3A5E20239}">
  <ds:schemaRefs>
    <ds:schemaRef ds:uri="http://schemas.microsoft.com/office/2006/metadata/properties"/>
    <ds:schemaRef ds:uri="http://schemas.microsoft.com/office/infopath/2007/PartnerControls"/>
    <ds:schemaRef ds:uri="0c5b17b4-c8aa-489c-8419-6cbaf1733ba6"/>
    <ds:schemaRef ds:uri="da739f2a-ab9d-4a09-8a13-015ac39db4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VF</vt:lpstr>
      <vt:lpstr>Detalle OCs</vt:lpstr>
      <vt:lpstr>Hoja2</vt:lpstr>
      <vt:lpstr>Numeros</vt:lpstr>
      <vt:lpstr>Sheet4</vt:lpstr>
      <vt:lpstr>Mail Cris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m.lavanchy</dc:creator>
  <cp:keywords/>
  <dc:description/>
  <cp:lastModifiedBy>Master</cp:lastModifiedBy>
  <cp:revision/>
  <dcterms:created xsi:type="dcterms:W3CDTF">2024-12-03T15:33:45Z</dcterms:created>
  <dcterms:modified xsi:type="dcterms:W3CDTF">2025-02-18T18:48:43Z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ContentTypeId">
    <vt:lpwstr>0x010100B4024D48BEB8F548B1768B8F42DE93B7</vt:lpwstr>
  </property>
</Properties>
</file>